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leonardopratelli/Desktop/"/>
    </mc:Choice>
  </mc:AlternateContent>
  <xr:revisionPtr revIDLastSave="0" documentId="13_ncr:1_{699ABC15-8D87-8040-973E-B552D432FE14}" xr6:coauthVersionLast="47" xr6:coauthVersionMax="47" xr10:uidLastSave="{00000000-0000-0000-0000-000000000000}"/>
  <bookViews>
    <workbookView xWindow="0" yWindow="780" windowWidth="16980" windowHeight="21460" tabRatio="500" xr2:uid="{00000000-000D-0000-FFFF-FFFF00000000}"/>
  </bookViews>
  <sheets>
    <sheet name="STATO PATRIMONIALE" sheetId="1" r:id="rId1"/>
    <sheet name="CONTO ECONOMICO" sheetId="2" r:id="rId2"/>
    <sheet name="RENDICONTO FINANZIARIO" sheetId="4" r:id="rId3"/>
    <sheet name="INDICI" sheetId="3" r:id="rId4"/>
    <sheet name="VALUTAZIONE INVESTIMENTI" sheetId="5" r:id="rId5"/>
    <sheet name="WACC" sheetId="7" r:id="rId6"/>
    <sheet name="STAFF DISTRIBUTION" sheetId="6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Q20" i="6" l="1"/>
  <c r="Q12" i="6"/>
  <c r="Q22" i="6" s="1"/>
  <c r="N20" i="6"/>
  <c r="N12" i="6"/>
  <c r="N22" i="6" s="1"/>
  <c r="K20" i="6"/>
  <c r="K12" i="6"/>
  <c r="K22" i="6" s="1"/>
  <c r="H20" i="6"/>
  <c r="H12" i="6"/>
  <c r="H22" i="6" s="1"/>
  <c r="B16" i="7"/>
  <c r="B15" i="7"/>
  <c r="B17" i="7" s="1"/>
  <c r="B11" i="7"/>
  <c r="B7" i="7"/>
  <c r="H27" i="3"/>
  <c r="H26" i="3"/>
  <c r="H25" i="3"/>
  <c r="H24" i="3"/>
  <c r="H23" i="3"/>
  <c r="H22" i="3"/>
  <c r="H20" i="3"/>
  <c r="H19" i="3"/>
  <c r="H18" i="3"/>
  <c r="H16" i="3"/>
  <c r="H15" i="3"/>
  <c r="H14" i="3"/>
  <c r="H13" i="3"/>
  <c r="H12" i="3"/>
  <c r="H11" i="3"/>
  <c r="H9" i="3"/>
  <c r="H8" i="3"/>
  <c r="H7" i="3"/>
  <c r="H6" i="3"/>
  <c r="H5" i="3"/>
  <c r="H4" i="3"/>
  <c r="B10" i="5"/>
  <c r="B7" i="5"/>
  <c r="C7" i="5" s="1"/>
  <c r="D7" i="5" s="1"/>
  <c r="E7" i="5" s="1"/>
  <c r="F7" i="5" s="1"/>
  <c r="G7" i="5" s="1"/>
  <c r="G6" i="5"/>
  <c r="F6" i="5"/>
  <c r="E6" i="5"/>
  <c r="D6" i="5"/>
  <c r="C6" i="5"/>
  <c r="B11" i="5" s="1"/>
  <c r="B6" i="5"/>
  <c r="B9" i="5" s="1"/>
  <c r="E20" i="6"/>
  <c r="B20" i="6"/>
  <c r="E12" i="6"/>
  <c r="E22" i="6" s="1"/>
  <c r="B12" i="6"/>
  <c r="B22" i="6" s="1"/>
</calcChain>
</file>

<file path=xl/sharedStrings.xml><?xml version="1.0" encoding="utf-8"?>
<sst xmlns="http://schemas.openxmlformats.org/spreadsheetml/2006/main" count="343" uniqueCount="243">
  <si>
    <t>STATO PATRIMONIALE — ATTIVO</t>
  </si>
  <si>
    <t>A) CREDITI VERSO SOCI PER VERSAMENTI ANCORA DOVUTI</t>
  </si>
  <si>
    <t>Totale crediti verso soci per versamenti ancora dovuti (A)</t>
  </si>
  <si>
    <t>B) IMMOBILIZZAZIONI</t>
  </si>
  <si>
    <t>I - Immobilizzazioni immateriali</t>
  </si>
  <si>
    <t>2) Costi di sviluppo</t>
  </si>
  <si>
    <t>4) Concessioni, licenze, marchi e diritti simili</t>
  </si>
  <si>
    <t>7) Altre</t>
  </si>
  <si>
    <t>Totale immobilizzazioni immateriali</t>
  </si>
  <si>
    <t>II - Immobilizzazioni materiali</t>
  </si>
  <si>
    <t>1) Terreni e fabbricati</t>
  </si>
  <si>
    <t>2) Impianti e macchinario</t>
  </si>
  <si>
    <t>3) Attrezzature industriali e commerciali</t>
  </si>
  <si>
    <t>4) Altri beni</t>
  </si>
  <si>
    <t>5) Immobilizzazioni in corso e acconti</t>
  </si>
  <si>
    <t>Totale immobilizzazioni materiali</t>
  </si>
  <si>
    <t>III - Immobilizzazioni finanziarie</t>
  </si>
  <si>
    <t>1) Partecipazioni in</t>
  </si>
  <si>
    <t>d-bis) Altre imprese</t>
  </si>
  <si>
    <t>Totale partecipazioni (1)</t>
  </si>
  <si>
    <t>Totale immobilizzazioni finanziarie (III)</t>
  </si>
  <si>
    <t>Totale immobilizzazioni (B)</t>
  </si>
  <si>
    <t>C) ATTIVO CIRCOLANTE</t>
  </si>
  <si>
    <t>I) Rimanenze</t>
  </si>
  <si>
    <t>1) Materie prime, sussidiarie e di consumo</t>
  </si>
  <si>
    <t>2) Prodotti in corso di lavorazione e semilavorati</t>
  </si>
  <si>
    <t>4) Prodotti finiti e merci</t>
  </si>
  <si>
    <t>Totale rimanenze</t>
  </si>
  <si>
    <t>II) Crediti</t>
  </si>
  <si>
    <t>1) Verso clienti</t>
  </si>
  <si>
    <t>Esigibili entro l'esercizio successivo</t>
  </si>
  <si>
    <t>Totale crediti verso clienti</t>
  </si>
  <si>
    <t>5-bis) Crediti tributari</t>
  </si>
  <si>
    <t>Totale crediti tributari</t>
  </si>
  <si>
    <t>5-ter) Imposte anticipate</t>
  </si>
  <si>
    <t>5-quater) Verso altri</t>
  </si>
  <si>
    <t>Totale crediti verso altri</t>
  </si>
  <si>
    <t>Totale crediti</t>
  </si>
  <si>
    <t>III - Attività finanziarie che non costituiscono immobilizzazioni</t>
  </si>
  <si>
    <t>6) Altri titoli</t>
  </si>
  <si>
    <t>Totale attività finanziarie che non costituiscono immobilizzazioni</t>
  </si>
  <si>
    <t>IV - Disponibilità liquide</t>
  </si>
  <si>
    <t>1) Depositi bancari e postali</t>
  </si>
  <si>
    <t>3) Danaro e valori in cassa</t>
  </si>
  <si>
    <t>Totale disponibilità liquide</t>
  </si>
  <si>
    <t>Totale attivo circolante (C)</t>
  </si>
  <si>
    <t>D) RATEI E RISCONTI</t>
  </si>
  <si>
    <t>TOTALE ATTIVO</t>
  </si>
  <si>
    <t>STATO PATRIMONIALE — PASSIVO</t>
  </si>
  <si>
    <t>A) PATRIMONIO NETTO</t>
  </si>
  <si>
    <t>I - Capitale</t>
  </si>
  <si>
    <t>II - Riserva da soprapprezzo delle azioni</t>
  </si>
  <si>
    <t>III - Riserve di rivalutazione</t>
  </si>
  <si>
    <t>IV - Riserva legale</t>
  </si>
  <si>
    <t>V - Riserve statutarie</t>
  </si>
  <si>
    <t>VI - Altre riserve, distintamente indicate</t>
  </si>
  <si>
    <t>Riserva straordinaria</t>
  </si>
  <si>
    <t>Riserva per utili su cambi non realizzati</t>
  </si>
  <si>
    <t>Varie altre riserve</t>
  </si>
  <si>
    <t>Totale altre riserve</t>
  </si>
  <si>
    <t>VII - Riserva per operazioni di copertura dei flussi finanziari attesi</t>
  </si>
  <si>
    <t>VIII - Utili (perdite) portati a nuovo</t>
  </si>
  <si>
    <t>IX - Utile (perdita) dell'esercizio</t>
  </si>
  <si>
    <t>Perdita ripianata nell'esercizio</t>
  </si>
  <si>
    <t>X - Riserva negativa per azioni proprie in portafoglio</t>
  </si>
  <si>
    <t>Totale patrimonio netto</t>
  </si>
  <si>
    <t>B) FONDI PER RISCHI E ONERI</t>
  </si>
  <si>
    <t>1) Per trattamento di quiescenza e obblighi simili</t>
  </si>
  <si>
    <t>2) Per imposte, anche differite</t>
  </si>
  <si>
    <t>3) Strumenti finanziari derivati passivi</t>
  </si>
  <si>
    <t>4) Altri</t>
  </si>
  <si>
    <t>Totale fondi per rischi e oneri (B)</t>
  </si>
  <si>
    <t>C) TRATTAMENTO DI FINE RAPPORTO DI LAVORO SUBORDINATO</t>
  </si>
  <si>
    <t>D) DEBITI</t>
  </si>
  <si>
    <t>3) Debiti verso soci per finanziamenti</t>
  </si>
  <si>
    <t>Totale debiti verso soci per finanziamenti (3)</t>
  </si>
  <si>
    <t>4) Debiti verso banche</t>
  </si>
  <si>
    <t>Esigibili oltre l'esercizio successivo</t>
  </si>
  <si>
    <t>Totale debiti verso banche (4)</t>
  </si>
  <si>
    <t>7) Debiti verso fornitori</t>
  </si>
  <si>
    <t>Totale debiti verso fornitori (7)</t>
  </si>
  <si>
    <t>12) Debiti tributari</t>
  </si>
  <si>
    <t>Totale debiti tributari (12)</t>
  </si>
  <si>
    <t>13) Debiti verso istituti di previdenza e di sicurezza sociale</t>
  </si>
  <si>
    <t>Totale debiti verso istituti di previdenza e di sicurezza sociale (13)</t>
  </si>
  <si>
    <t>14) Altri debiti</t>
  </si>
  <si>
    <t>Totale altri debiti (14)</t>
  </si>
  <si>
    <t>Totale debiti (D)</t>
  </si>
  <si>
    <t>E) RATEI E RISCONTI</t>
  </si>
  <si>
    <t>TOTALE PASSIVO</t>
  </si>
  <si>
    <t>CONTO ECONOMICO</t>
  </si>
  <si>
    <t>VOCE</t>
  </si>
  <si>
    <t>A) VALORE DELLA PRODUZIONE</t>
  </si>
  <si>
    <t>1) Ricavi delle vendite e delle prestazioni</t>
  </si>
  <si>
    <t>2) Variazione delle rimanenze di prodotti in corso di lavorazione, semilavorati e finiti</t>
  </si>
  <si>
    <t>5) Altri ricavi e proventi</t>
  </si>
  <si>
    <t>Contributi in conto esercizio</t>
  </si>
  <si>
    <t>Altri</t>
  </si>
  <si>
    <t>Totale altri ricavi e proventi</t>
  </si>
  <si>
    <t>Totale valore della produzione (A)</t>
  </si>
  <si>
    <t>B) COSTI DELLA PRODUZIONE</t>
  </si>
  <si>
    <t>6) Per materie prime, sussidiarie, di consumo e merci</t>
  </si>
  <si>
    <t>7) Per servizi</t>
  </si>
  <si>
    <t>8) Per godimento di beni di terzi</t>
  </si>
  <si>
    <t>9) Per il personale:</t>
  </si>
  <si>
    <t>a) Salari e stipendi</t>
  </si>
  <si>
    <t>b) Oneri sociali</t>
  </si>
  <si>
    <t>c) Trattamento di fine rapporto</t>
  </si>
  <si>
    <t>e) Altri costi</t>
  </si>
  <si>
    <t>Totale costi per il personale</t>
  </si>
  <si>
    <t>10) Ammortamenti e svalutazioni:</t>
  </si>
  <si>
    <t>a) Ammortamento delle immobilizzazioni immateriali</t>
  </si>
  <si>
    <t>b) Ammortamento delle immobilizzazioni materiali</t>
  </si>
  <si>
    <t>d) Svalutazione crediti attivo circolante e disponibilità liquide</t>
  </si>
  <si>
    <t>Totale ammortamenti e svalutazioni</t>
  </si>
  <si>
    <t>11) Variazione delle rimanenze di materie prime, sussidiarie, di consumo e merci</t>
  </si>
  <si>
    <t>13) Altri accantonamenti</t>
  </si>
  <si>
    <t>14) Oneri diversi di gestione</t>
  </si>
  <si>
    <t>Totale costi della produzione (B)</t>
  </si>
  <si>
    <t>Differenza tra valore e costi della produzione (A-B)</t>
  </si>
  <si>
    <t>C) PROVENTI E ONERI FINANZIARI</t>
  </si>
  <si>
    <t>16) Altri proventi finanziari</t>
  </si>
  <si>
    <t>d) Proventi diversi dai precedenti</t>
  </si>
  <si>
    <t>Totale proventi diversi dai precedenti</t>
  </si>
  <si>
    <t>Totale altri proventi finanziari</t>
  </si>
  <si>
    <t>17) Interessi e altri oneri finanziari</t>
  </si>
  <si>
    <t>Totale interessi e altri oneri finanziari</t>
  </si>
  <si>
    <t>17-bis) Utili e perdite su cambi</t>
  </si>
  <si>
    <t>Totale proventi e oneri finanziari (C) (15+16-17+-17-bis)</t>
  </si>
  <si>
    <t>D) RETTIFICHE DI VALORE DI ATTIVITÀ E PASSIVITÀ FINANZIARIE</t>
  </si>
  <si>
    <t>18) Rivalutazioni:</t>
  </si>
  <si>
    <t>c) Di titoli iscritti nell'attivo circolante che non costituiscono partecipazioni</t>
  </si>
  <si>
    <t>Totale rivalutazioni</t>
  </si>
  <si>
    <t>19) Svalutazioni:</t>
  </si>
  <si>
    <t>Totale svalutazioni</t>
  </si>
  <si>
    <t>Totale rettifiche di valore di attività e passività finanziarie (18-19)</t>
  </si>
  <si>
    <t>RISULTATO PRIMA DELLE IMPOSTE (A-B+C+D)</t>
  </si>
  <si>
    <t>20) Imposte sul reddito dell'esercizio, correnti, differite e anticipate</t>
  </si>
  <si>
    <t>Imposte correnti</t>
  </si>
  <si>
    <t>Imposte differite e anticipate</t>
  </si>
  <si>
    <t>Totale delle imposte sul reddito dell'esercizio, correnti, differite e anticipate</t>
  </si>
  <si>
    <t>21) UTILE (PERDITA) D'ESERCIZIO</t>
  </si>
  <si>
    <t>DISTRIBUZIONE DEL PERSONALE</t>
  </si>
  <si>
    <t>MANODOPERA DIRETTA</t>
  </si>
  <si>
    <t>Operatore carpenteria</t>
  </si>
  <si>
    <t>Operatore plastica</t>
  </si>
  <si>
    <t>Addetto assemblaggio</t>
  </si>
  <si>
    <t>Addetto magazzino</t>
  </si>
  <si>
    <t>Tecnico elettronico</t>
  </si>
  <si>
    <t>Addetto collaudo</t>
  </si>
  <si>
    <t>Operatore piegatrice</t>
  </si>
  <si>
    <t>Direct wages</t>
  </si>
  <si>
    <t>MANODOPERA INDIRETTA</t>
  </si>
  <si>
    <t>Ingegnere meccanico</t>
  </si>
  <si>
    <t>Ingegnere elettronico</t>
  </si>
  <si>
    <t>Qa/Ra</t>
  </si>
  <si>
    <t>Venditore</t>
  </si>
  <si>
    <t>Amministrazione</t>
  </si>
  <si>
    <t>Indirect wages</t>
  </si>
  <si>
    <t>Totale employees</t>
  </si>
  <si>
    <t>VALUTAZIONE INVESTIMENTI — VAN, TIR, Payback</t>
  </si>
  <si>
    <t>Tasso di attualizzazione (WACC)</t>
  </si>
  <si>
    <t>← inserire</t>
  </si>
  <si>
    <t>Anno</t>
  </si>
  <si>
    <t>Flusso di cassa (FCF)</t>
  </si>
  <si>
    <t>Flusso di cassa attualizzato</t>
  </si>
  <si>
    <t>FCF cumulato (per Payback)</t>
  </si>
  <si>
    <t>VAN (Valore Attuale Netto)</t>
  </si>
  <si>
    <t>TIR (Tasso Interno di Rendimento)</t>
  </si>
  <si>
    <t>Indice di redditività (PI)</t>
  </si>
  <si>
    <t>Regola: si accetta se VAN &gt; 0 e TIR &gt; WACC</t>
  </si>
  <si>
    <t>INDICI DI BILANCIO E KPI</t>
  </si>
  <si>
    <t>INDICATORE</t>
  </si>
  <si>
    <t>Media</t>
  </si>
  <si>
    <t>Formula</t>
  </si>
  <si>
    <t>REDDITIVITÀ</t>
  </si>
  <si>
    <t>ROE</t>
  </si>
  <si>
    <t>ROE = Utile netto / Patrimonio netto</t>
  </si>
  <si>
    <t>ROI</t>
  </si>
  <si>
    <t>ROI = EBIT / Capitale investito (Totale attivo)</t>
  </si>
  <si>
    <t>ROS</t>
  </si>
  <si>
    <t>ROS = EBIT / Ricavi delle vendite</t>
  </si>
  <si>
    <t>Gross margin</t>
  </si>
  <si>
    <t>Gross margin = Utile lordo / Ricavi</t>
  </si>
  <si>
    <t>EBITDA margin</t>
  </si>
  <si>
    <t>EBITDA margin = EBITDA / Ricavi totali</t>
  </si>
  <si>
    <t>Net margin</t>
  </si>
  <si>
    <t>Net margin = Utile netto / Ricavi totali</t>
  </si>
  <si>
    <t>STRUTTURA FINANZIARIA E LEVA</t>
  </si>
  <si>
    <t>Leverage (D/E)</t>
  </si>
  <si>
    <t>Leverage = Debiti finanziari / Patrimonio netto</t>
  </si>
  <si>
    <t>Posizione Finanziaria Netta (PFN)</t>
  </si>
  <si>
    <t>PFN = Debiti finanziari − Disponibilità liquide</t>
  </si>
  <si>
    <t>PFN / EBITDA</t>
  </si>
  <si>
    <t>PFN / EBITDA (sostenibilità del debito)</t>
  </si>
  <si>
    <t>Capitale Investito Netto (CIN)</t>
  </si>
  <si>
    <t>CIN = CCN + Immobilizzazioni nette</t>
  </si>
  <si>
    <t>Capitale Circolante Netto (CCN)</t>
  </si>
  <si>
    <t>CCN = Attività a breve − Passività a breve</t>
  </si>
  <si>
    <t>DSCR</t>
  </si>
  <si>
    <t>DSCR = Flusso operativo / Servizio del debito</t>
  </si>
  <si>
    <t>VALORE E COSTO DEL CAPITALE</t>
  </si>
  <si>
    <t>WACC</t>
  </si>
  <si>
    <t>WACC = E/(D+E)·Ke + D/(D+E)·Kd·(1−t)</t>
  </si>
  <si>
    <t>EVA</t>
  </si>
  <si>
    <t>EVA = NOPAT − (CIN × WACC)</t>
  </si>
  <si>
    <t>NOPAT</t>
  </si>
  <si>
    <t>NOPAT = EBIT × (1 − aliquota fiscale)</t>
  </si>
  <si>
    <t>KPI SaaS / OPERATIVI (se applicabili)</t>
  </si>
  <si>
    <t>ARR</t>
  </si>
  <si>
    <t>ARR = Ricavi ricorrenti annui</t>
  </si>
  <si>
    <t>LTV</t>
  </si>
  <si>
    <t>LTV = ARPU × Gross margin × Lifetime</t>
  </si>
  <si>
    <t>CAC</t>
  </si>
  <si>
    <t>CAC = (Vendite + Marketing) / N° nuovi clienti</t>
  </si>
  <si>
    <t>LTV / CAC</t>
  </si>
  <si>
    <t>LTV / CAC (target &gt; 3x)</t>
  </si>
  <si>
    <t>CAGR ricavi</t>
  </si>
  <si>
    <t>CAGR = (Finale/Iniziale)^(1/n) − 1</t>
  </si>
  <si>
    <t>Break Even Point (unità)</t>
  </si>
  <si>
    <t>BEP = Costi fissi / Margine di contribuzione unitario</t>
  </si>
  <si>
    <t>COSTO MEDIO PONDERATO DEL CAPITALE (WACC)</t>
  </si>
  <si>
    <t>COSTO DEL CAPITALE PROPRIO (Ke) — CAPM</t>
  </si>
  <si>
    <t>Risk-free rate (Rf)</t>
  </si>
  <si>
    <t>← input (es. BTP 10Y)</t>
  </si>
  <si>
    <t>Beta (β)</t>
  </si>
  <si>
    <t>← input (rischio sistematico)</t>
  </si>
  <si>
    <t>Premio per il rischio di mercato (Rm − Rf)</t>
  </si>
  <si>
    <t>← input</t>
  </si>
  <si>
    <t>Ke = Rf + β·(Rm − Rf)</t>
  </si>
  <si>
    <t>Costo equity (CAPM)</t>
  </si>
  <si>
    <t>COSTO DEL DEBITO (Kd)</t>
  </si>
  <si>
    <t>Costo del debito lordo (Kd)</t>
  </si>
  <si>
    <t>Aliquota fiscale (t)</t>
  </si>
  <si>
    <t>← input (es. IRES+IRAP)</t>
  </si>
  <si>
    <t>Kd netto = Kd·(1 − t)</t>
  </si>
  <si>
    <t>Scudo fiscale</t>
  </si>
  <si>
    <t>STRUTTURA FINANZIARIA</t>
  </si>
  <si>
    <t>Equity (E)</t>
  </si>
  <si>
    <t>Debito (D)</t>
  </si>
  <si>
    <t>Peso equity  E/(D+E)</t>
  </si>
  <si>
    <t>Peso debito  D/(D+E)</t>
  </si>
  <si>
    <t>Costo medio ponderato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</si>
</sst>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;\-"/>
    <numFmt numFmtId="165" formatCode="&quot;€ &quot;#,##0;&quot;(€ &quot;#,##0\);\-"/>
    <numFmt numFmtId="166" formatCode="0.0%;\(0.0%\);\-"/>
    <numFmt numFmtId="167" formatCode="0.00\x"/>
  </numFmts>
  <fonts count="6" x14ac:knownFonts="1">
    <font>
      <sz val="11"/>
      <color theme="1"/>
      <name val="Calibri"/>
      <family val="2"/>
      <charset val="1"/>
    </font>
    <font>
      <b/>
      <sz val="13"/>
      <color rgb="FF000000"/>
      <name val="Aptos Narrow"/>
    </font>
    <font>
      <b/>
      <sz val="12"/>
      <color rgb="FF000000"/>
      <name val="Aptos Narrow"/>
    </font>
    <font>
      <b/>
      <sz val="11"/>
      <color rgb="FF000000"/>
      <name val="Aptos Narrow"/>
    </font>
    <font>
      <sz val="11"/>
      <color rgb="FF000000"/>
      <name val="Aptos Narrow"/>
    </font>
    <font>
      <i/>
      <sz val="11"/>
      <color rgb="FF595959"/>
      <name val="Aptos Narrow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F2F2F2"/>
      </patternFill>
    </fill>
    <fill>
      <patternFill patternType="solid">
        <fgColor rgb="FFF2F2F2"/>
        <bgColor rgb="FFFFFFCC"/>
      </patternFill>
    </fill>
    <fill>
      <patternFill patternType="solid">
        <fgColor rgb="FFA9D08E"/>
        <bgColor rgb="FFBFBFBF"/>
      </patternFill>
    </fill>
    <fill>
      <patternFill patternType="solid">
        <fgColor theme="1"/>
        <bgColor rgb="FFF2F2F2"/>
      </patternFill>
    </fill>
  </fills>
  <borders count="2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rgb="FFBFBFBF"/>
      </left>
      <right/>
      <top style="thin">
        <color indexed="64"/>
      </top>
      <bottom style="thin">
        <color rgb="FFBFBFBF"/>
      </bottom>
      <diagonal/>
    </border>
    <border>
      <left/>
      <right/>
      <top style="thin">
        <color indexed="64"/>
      </top>
      <bottom style="thin">
        <color rgb="FFBFBFBF"/>
      </bottom>
      <diagonal/>
    </border>
    <border>
      <left/>
      <right style="thin">
        <color rgb="FFBFBFBF"/>
      </right>
      <top style="thin">
        <color indexed="64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3" fillId="3" borderId="3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164" fontId="3" fillId="3" borderId="2" xfId="0" applyNumberFormat="1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horizontal="right" vertical="center"/>
    </xf>
    <xf numFmtId="0" fontId="3" fillId="0" borderId="2" xfId="0" applyFont="1" applyBorder="1" applyAlignment="1">
      <alignment horizontal="left" vertical="center" indent="1"/>
    </xf>
    <xf numFmtId="0" fontId="4" fillId="0" borderId="2" xfId="0" applyFont="1" applyBorder="1" applyAlignment="1">
      <alignment horizontal="left" vertical="center" indent="1"/>
    </xf>
    <xf numFmtId="164" fontId="4" fillId="0" borderId="2" xfId="0" applyNumberFormat="1" applyFont="1" applyBorder="1" applyAlignment="1">
      <alignment horizontal="right" vertical="center"/>
    </xf>
    <xf numFmtId="0" fontId="4" fillId="0" borderId="2" xfId="0" applyFont="1" applyBorder="1" applyAlignment="1">
      <alignment horizontal="left" vertical="center" indent="2"/>
    </xf>
    <xf numFmtId="0" fontId="3" fillId="4" borderId="2" xfId="0" applyFont="1" applyFill="1" applyBorder="1" applyAlignment="1">
      <alignment horizontal="left" vertical="center" indent="1"/>
    </xf>
    <xf numFmtId="0" fontId="4" fillId="0" borderId="2" xfId="0" applyFont="1" applyBorder="1" applyAlignment="1">
      <alignment horizontal="left" vertical="center" indent="3"/>
    </xf>
    <xf numFmtId="0" fontId="3" fillId="4" borderId="2" xfId="0" applyFont="1" applyFill="1" applyBorder="1" applyAlignment="1">
      <alignment horizontal="left" vertical="center" indent="2"/>
    </xf>
    <xf numFmtId="0" fontId="3" fillId="5" borderId="2" xfId="0" applyFont="1" applyFill="1" applyBorder="1" applyAlignment="1">
      <alignment horizontal="left" vertical="center"/>
    </xf>
    <xf numFmtId="164" fontId="3" fillId="5" borderId="2" xfId="0" applyNumberFormat="1" applyFont="1" applyFill="1" applyBorder="1" applyAlignment="1">
      <alignment horizontal="right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vertical="center"/>
    </xf>
    <xf numFmtId="0" fontId="2" fillId="6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/>
    </xf>
    <xf numFmtId="165" fontId="4" fillId="0" borderId="2" xfId="0" applyNumberFormat="1" applyFont="1" applyBorder="1" applyAlignment="1">
      <alignment horizontal="right" vertical="center"/>
    </xf>
    <xf numFmtId="165" fontId="3" fillId="4" borderId="2" xfId="0" applyNumberFormat="1" applyFont="1" applyFill="1" applyBorder="1" applyAlignment="1">
      <alignment horizontal="right" vertical="center"/>
    </xf>
    <xf numFmtId="165" fontId="3" fillId="5" borderId="2" xfId="0" applyNumberFormat="1" applyFont="1" applyFill="1" applyBorder="1" applyAlignment="1">
      <alignment horizontal="right" vertical="center"/>
    </xf>
    <xf numFmtId="0" fontId="3" fillId="3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166" fontId="4" fillId="2" borderId="2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left" vertical="center"/>
    </xf>
    <xf numFmtId="166" fontId="3" fillId="5" borderId="2" xfId="0" applyNumberFormat="1" applyFont="1" applyFill="1" applyBorder="1" applyAlignment="1">
      <alignment horizontal="right" vertical="center"/>
    </xf>
    <xf numFmtId="167" fontId="3" fillId="4" borderId="2" xfId="0" applyNumberFormat="1" applyFont="1" applyFill="1" applyBorder="1" applyAlignment="1">
      <alignment horizontal="right" vertical="center"/>
    </xf>
    <xf numFmtId="166" fontId="4" fillId="0" borderId="2" xfId="0" applyNumberFormat="1" applyFont="1" applyBorder="1" applyAlignment="1">
      <alignment horizontal="right" vertical="center"/>
    </xf>
    <xf numFmtId="0" fontId="5" fillId="0" borderId="2" xfId="0" applyFont="1" applyBorder="1" applyAlignment="1">
      <alignment horizontal="left" vertical="center"/>
    </xf>
    <xf numFmtId="167" fontId="4" fillId="0" borderId="2" xfId="0" applyNumberFormat="1" applyFont="1" applyBorder="1" applyAlignment="1">
      <alignment horizontal="right" vertical="center"/>
    </xf>
    <xf numFmtId="0" fontId="3" fillId="3" borderId="2" xfId="0" applyFont="1" applyFill="1" applyBorder="1" applyAlignment="1">
      <alignment vertical="center"/>
    </xf>
    <xf numFmtId="166" fontId="3" fillId="3" borderId="2" xfId="0" applyNumberFormat="1" applyFont="1" applyFill="1" applyBorder="1" applyAlignment="1">
      <alignment horizontal="right" vertical="center"/>
    </xf>
    <xf numFmtId="0" fontId="4" fillId="2" borderId="2" xfId="0" applyFont="1" applyFill="1" applyBorder="1" applyAlignment="1">
      <alignment horizontal="left" vertical="center" indent="1"/>
    </xf>
    <xf numFmtId="2" fontId="4" fillId="2" borderId="2" xfId="0" applyNumberFormat="1" applyFont="1" applyFill="1" applyBorder="1" applyAlignment="1">
      <alignment horizontal="right" vertical="center"/>
    </xf>
    <xf numFmtId="166" fontId="3" fillId="4" borderId="2" xfId="0" applyNumberFormat="1" applyFont="1" applyFill="1" applyBorder="1" applyAlignment="1">
      <alignment horizontal="right" vertical="center"/>
    </xf>
    <xf numFmtId="164" fontId="4" fillId="2" borderId="2" xfId="0" applyNumberFormat="1" applyFont="1" applyFill="1" applyBorder="1" applyAlignment="1">
      <alignment horizontal="right" vertical="center"/>
    </xf>
    <xf numFmtId="0" fontId="4" fillId="4" borderId="2" xfId="0" applyFont="1" applyFill="1" applyBorder="1" applyAlignment="1">
      <alignment horizontal="left" vertical="center" indent="1"/>
    </xf>
    <xf numFmtId="166" fontId="4" fillId="4" borderId="2" xfId="0" applyNumberFormat="1" applyFont="1" applyFill="1" applyBorder="1" applyAlignment="1">
      <alignment horizontal="right" vertical="center"/>
    </xf>
    <xf numFmtId="0" fontId="3" fillId="2" borderId="9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3" borderId="19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9D08E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tabSelected="1" zoomScale="118" zoomScaleNormal="100" workbookViewId="0">
      <pane ySplit="2" topLeftCell="A3" activePane="bottomLeft" state="frozen"/>
      <selection pane="bottomLeft" activeCell="G25" sqref="G25"/>
    </sheetView>
  </sheetViews>
  <sheetFormatPr baseColWidth="10" defaultColWidth="8.6640625" defaultRowHeight="15" x14ac:dyDescent="0.2"/>
  <cols>
    <col min="1" max="1" width="53.1640625" customWidth="1"/>
    <col min="2" max="4" width="16" customWidth="1"/>
    <col min="5" max="5" width="17.33203125" customWidth="1"/>
    <col min="6" max="7" width="17.1640625" customWidth="1"/>
  </cols>
  <sheetData>
    <row r="1" spans="1:7" ht="19" thickBot="1" x14ac:dyDescent="0.25">
      <c r="A1" s="16" t="s">
        <v>0</v>
      </c>
      <c r="B1" s="24"/>
      <c r="C1" s="24"/>
      <c r="D1" s="24"/>
      <c r="E1" s="24"/>
      <c r="F1" s="24"/>
      <c r="G1" s="25"/>
    </row>
    <row r="2" spans="1:7" ht="16" x14ac:dyDescent="0.2">
      <c r="A2" s="23"/>
      <c r="B2" s="26">
        <v>2022</v>
      </c>
      <c r="C2" s="26">
        <v>2023</v>
      </c>
      <c r="D2" s="26">
        <v>2024</v>
      </c>
      <c r="E2" s="26">
        <v>2025</v>
      </c>
      <c r="F2" s="26">
        <v>2026</v>
      </c>
      <c r="G2" s="26">
        <v>2027</v>
      </c>
    </row>
    <row r="3" spans="1:7" x14ac:dyDescent="0.2">
      <c r="A3" s="22" t="s">
        <v>1</v>
      </c>
      <c r="B3" s="27"/>
      <c r="C3" s="28"/>
      <c r="D3" s="28"/>
      <c r="E3" s="28"/>
      <c r="F3" s="28"/>
      <c r="G3" s="29"/>
    </row>
    <row r="4" spans="1:7" x14ac:dyDescent="0.2">
      <c r="A4" s="5" t="s">
        <v>2</v>
      </c>
      <c r="B4" s="5"/>
      <c r="C4" s="6"/>
      <c r="D4" s="6"/>
      <c r="E4" s="6"/>
      <c r="F4" s="6"/>
      <c r="G4" s="6"/>
    </row>
    <row r="5" spans="1:7" x14ac:dyDescent="0.2">
      <c r="A5" s="22" t="s">
        <v>3</v>
      </c>
      <c r="B5" s="30"/>
      <c r="C5" s="31"/>
      <c r="D5" s="31"/>
      <c r="E5" s="31"/>
      <c r="F5" s="31"/>
      <c r="G5" s="32"/>
    </row>
    <row r="6" spans="1:7" x14ac:dyDescent="0.2">
      <c r="A6" s="7" t="s">
        <v>4</v>
      </c>
      <c r="B6" s="8"/>
      <c r="C6" s="9"/>
      <c r="D6" s="9"/>
      <c r="E6" s="9"/>
      <c r="F6" s="9"/>
      <c r="G6" s="9"/>
    </row>
    <row r="7" spans="1:7" x14ac:dyDescent="0.2">
      <c r="A7" s="10" t="s">
        <v>5</v>
      </c>
      <c r="B7" s="10"/>
      <c r="C7" s="9"/>
      <c r="D7" s="9"/>
      <c r="E7" s="9"/>
      <c r="F7" s="9"/>
      <c r="G7" s="9"/>
    </row>
    <row r="8" spans="1:7" x14ac:dyDescent="0.2">
      <c r="A8" s="10" t="s">
        <v>6</v>
      </c>
      <c r="B8" s="10"/>
      <c r="C8" s="9"/>
      <c r="D8" s="9"/>
      <c r="E8" s="9"/>
      <c r="F8" s="9"/>
      <c r="G8" s="9"/>
    </row>
    <row r="9" spans="1:7" x14ac:dyDescent="0.2">
      <c r="A9" s="10" t="s">
        <v>7</v>
      </c>
      <c r="B9" s="10"/>
      <c r="C9" s="9"/>
      <c r="D9" s="9"/>
      <c r="E9" s="9"/>
      <c r="F9" s="9"/>
      <c r="G9" s="9"/>
    </row>
    <row r="10" spans="1:7" x14ac:dyDescent="0.2">
      <c r="A10" s="11" t="s">
        <v>8</v>
      </c>
      <c r="B10" s="5"/>
      <c r="C10" s="6"/>
      <c r="D10" s="6"/>
      <c r="E10" s="6"/>
      <c r="F10" s="6"/>
      <c r="G10" s="6"/>
    </row>
    <row r="11" spans="1:7" x14ac:dyDescent="0.2">
      <c r="A11" s="7" t="s">
        <v>9</v>
      </c>
      <c r="B11" s="8"/>
      <c r="C11" s="9"/>
      <c r="D11" s="9"/>
      <c r="E11" s="9"/>
      <c r="F11" s="9"/>
      <c r="G11" s="9"/>
    </row>
    <row r="12" spans="1:7" x14ac:dyDescent="0.2">
      <c r="A12" s="10" t="s">
        <v>10</v>
      </c>
      <c r="B12" s="10"/>
      <c r="C12" s="9"/>
      <c r="D12" s="9"/>
      <c r="E12" s="9"/>
      <c r="F12" s="9"/>
      <c r="G12" s="9"/>
    </row>
    <row r="13" spans="1:7" x14ac:dyDescent="0.2">
      <c r="A13" s="10" t="s">
        <v>11</v>
      </c>
      <c r="B13" s="10"/>
      <c r="C13" s="9"/>
      <c r="D13" s="9"/>
      <c r="E13" s="9"/>
      <c r="F13" s="9"/>
      <c r="G13" s="9"/>
    </row>
    <row r="14" spans="1:7" x14ac:dyDescent="0.2">
      <c r="A14" s="10" t="s">
        <v>12</v>
      </c>
      <c r="B14" s="10"/>
      <c r="C14" s="9"/>
      <c r="D14" s="9"/>
      <c r="E14" s="9"/>
      <c r="F14" s="9"/>
      <c r="G14" s="9"/>
    </row>
    <row r="15" spans="1:7" x14ac:dyDescent="0.2">
      <c r="A15" s="10" t="s">
        <v>13</v>
      </c>
      <c r="B15" s="10"/>
      <c r="C15" s="9"/>
      <c r="D15" s="9"/>
      <c r="E15" s="9"/>
      <c r="F15" s="9"/>
      <c r="G15" s="9"/>
    </row>
    <row r="16" spans="1:7" x14ac:dyDescent="0.2">
      <c r="A16" s="10" t="s">
        <v>14</v>
      </c>
      <c r="B16" s="10"/>
      <c r="C16" s="9"/>
      <c r="D16" s="9"/>
      <c r="E16" s="9"/>
      <c r="F16" s="9"/>
      <c r="G16" s="9"/>
    </row>
    <row r="17" spans="1:7" x14ac:dyDescent="0.2">
      <c r="A17" s="11" t="s">
        <v>15</v>
      </c>
      <c r="B17" s="5"/>
      <c r="C17" s="6"/>
      <c r="D17" s="6"/>
      <c r="E17" s="6"/>
      <c r="F17" s="6"/>
      <c r="G17" s="6"/>
    </row>
    <row r="18" spans="1:7" x14ac:dyDescent="0.2">
      <c r="A18" s="7" t="s">
        <v>16</v>
      </c>
      <c r="B18" s="8"/>
      <c r="C18" s="9"/>
      <c r="D18" s="9"/>
      <c r="E18" s="9"/>
      <c r="F18" s="9"/>
      <c r="G18" s="9"/>
    </row>
    <row r="19" spans="1:7" x14ac:dyDescent="0.2">
      <c r="A19" s="10" t="s">
        <v>17</v>
      </c>
      <c r="B19" s="10"/>
      <c r="C19" s="9"/>
      <c r="D19" s="9"/>
      <c r="E19" s="9"/>
      <c r="F19" s="9"/>
      <c r="G19" s="9"/>
    </row>
    <row r="20" spans="1:7" x14ac:dyDescent="0.2">
      <c r="A20" s="12" t="s">
        <v>18</v>
      </c>
      <c r="B20" s="12"/>
      <c r="C20" s="9"/>
      <c r="D20" s="9"/>
      <c r="E20" s="9"/>
      <c r="F20" s="9"/>
      <c r="G20" s="9"/>
    </row>
    <row r="21" spans="1:7" x14ac:dyDescent="0.2">
      <c r="A21" s="13" t="s">
        <v>19</v>
      </c>
      <c r="B21" s="5"/>
      <c r="C21" s="6"/>
      <c r="D21" s="6"/>
      <c r="E21" s="6"/>
      <c r="F21" s="6"/>
      <c r="G21" s="6"/>
    </row>
    <row r="22" spans="1:7" x14ac:dyDescent="0.2">
      <c r="A22" s="11" t="s">
        <v>20</v>
      </c>
      <c r="B22" s="5"/>
      <c r="C22" s="6"/>
      <c r="D22" s="6"/>
      <c r="E22" s="6"/>
      <c r="F22" s="6"/>
      <c r="G22" s="6"/>
    </row>
    <row r="23" spans="1:7" x14ac:dyDescent="0.2">
      <c r="A23" s="5" t="s">
        <v>21</v>
      </c>
      <c r="B23" s="5"/>
      <c r="C23" s="6"/>
      <c r="D23" s="6"/>
      <c r="E23" s="6"/>
      <c r="F23" s="6"/>
      <c r="G23" s="6"/>
    </row>
    <row r="24" spans="1:7" x14ac:dyDescent="0.2">
      <c r="A24" s="22" t="s">
        <v>22</v>
      </c>
      <c r="B24" s="30"/>
      <c r="C24" s="31"/>
      <c r="D24" s="31"/>
      <c r="E24" s="31"/>
      <c r="F24" s="31"/>
      <c r="G24" s="32"/>
    </row>
    <row r="25" spans="1:7" x14ac:dyDescent="0.2">
      <c r="A25" s="7" t="s">
        <v>23</v>
      </c>
      <c r="B25" s="8"/>
      <c r="C25" s="9"/>
      <c r="D25" s="9"/>
      <c r="E25" s="9"/>
      <c r="F25" s="9"/>
      <c r="G25" s="9"/>
    </row>
    <row r="26" spans="1:7" x14ac:dyDescent="0.2">
      <c r="A26" s="10" t="s">
        <v>24</v>
      </c>
      <c r="B26" s="10"/>
      <c r="C26" s="9"/>
      <c r="D26" s="9"/>
      <c r="E26" s="9"/>
      <c r="F26" s="9"/>
      <c r="G26" s="9"/>
    </row>
    <row r="27" spans="1:7" x14ac:dyDescent="0.2">
      <c r="A27" s="10" t="s">
        <v>25</v>
      </c>
      <c r="B27" s="10"/>
      <c r="C27" s="9"/>
      <c r="D27" s="9"/>
      <c r="E27" s="9"/>
      <c r="F27" s="9"/>
      <c r="G27" s="9"/>
    </row>
    <row r="28" spans="1:7" x14ac:dyDescent="0.2">
      <c r="A28" s="10" t="s">
        <v>26</v>
      </c>
      <c r="B28" s="10"/>
      <c r="C28" s="9"/>
      <c r="D28" s="9"/>
      <c r="E28" s="9"/>
      <c r="F28" s="9"/>
      <c r="G28" s="9"/>
    </row>
    <row r="29" spans="1:7" x14ac:dyDescent="0.2">
      <c r="A29" s="11" t="s">
        <v>27</v>
      </c>
      <c r="B29" s="5"/>
      <c r="C29" s="6"/>
      <c r="D29" s="6"/>
      <c r="E29" s="6"/>
      <c r="F29" s="6"/>
      <c r="G29" s="6"/>
    </row>
    <row r="30" spans="1:7" x14ac:dyDescent="0.2">
      <c r="A30" s="7" t="s">
        <v>28</v>
      </c>
      <c r="B30" s="8"/>
      <c r="C30" s="9"/>
      <c r="D30" s="9"/>
      <c r="E30" s="9"/>
      <c r="F30" s="9"/>
      <c r="G30" s="9"/>
    </row>
    <row r="31" spans="1:7" x14ac:dyDescent="0.2">
      <c r="A31" s="10" t="s">
        <v>29</v>
      </c>
      <c r="B31" s="10"/>
      <c r="C31" s="9"/>
      <c r="D31" s="9"/>
      <c r="E31" s="9"/>
      <c r="F31" s="9"/>
      <c r="G31" s="9"/>
    </row>
    <row r="32" spans="1:7" x14ac:dyDescent="0.2">
      <c r="A32" s="12" t="s">
        <v>30</v>
      </c>
      <c r="B32" s="12"/>
      <c r="C32" s="9"/>
      <c r="D32" s="9"/>
      <c r="E32" s="9"/>
      <c r="F32" s="9"/>
      <c r="G32" s="9"/>
    </row>
    <row r="33" spans="1:7" x14ac:dyDescent="0.2">
      <c r="A33" s="13" t="s">
        <v>31</v>
      </c>
      <c r="B33" s="5"/>
      <c r="C33" s="6"/>
      <c r="D33" s="6"/>
      <c r="E33" s="6"/>
      <c r="F33" s="6"/>
      <c r="G33" s="6"/>
    </row>
    <row r="34" spans="1:7" x14ac:dyDescent="0.2">
      <c r="A34" s="10" t="s">
        <v>32</v>
      </c>
      <c r="B34" s="10"/>
      <c r="C34" s="9"/>
      <c r="D34" s="9"/>
      <c r="E34" s="9"/>
      <c r="F34" s="9"/>
      <c r="G34" s="9"/>
    </row>
    <row r="35" spans="1:7" x14ac:dyDescent="0.2">
      <c r="A35" s="12" t="s">
        <v>30</v>
      </c>
      <c r="B35" s="12"/>
      <c r="C35" s="9"/>
      <c r="D35" s="9"/>
      <c r="E35" s="9"/>
      <c r="F35" s="9"/>
      <c r="G35" s="9"/>
    </row>
    <row r="36" spans="1:7" x14ac:dyDescent="0.2">
      <c r="A36" s="13" t="s">
        <v>33</v>
      </c>
      <c r="B36" s="5"/>
      <c r="C36" s="6"/>
      <c r="D36" s="6"/>
      <c r="E36" s="6"/>
      <c r="F36" s="6"/>
      <c r="G36" s="6"/>
    </row>
    <row r="37" spans="1:7" x14ac:dyDescent="0.2">
      <c r="A37" s="10" t="s">
        <v>34</v>
      </c>
      <c r="B37" s="10"/>
      <c r="C37" s="9"/>
      <c r="D37" s="9"/>
      <c r="E37" s="9"/>
      <c r="F37" s="9"/>
      <c r="G37" s="9"/>
    </row>
    <row r="38" spans="1:7" x14ac:dyDescent="0.2">
      <c r="A38" s="10" t="s">
        <v>35</v>
      </c>
      <c r="B38" s="10"/>
      <c r="C38" s="9"/>
      <c r="D38" s="9"/>
      <c r="E38" s="9"/>
      <c r="F38" s="9"/>
      <c r="G38" s="9"/>
    </row>
    <row r="39" spans="1:7" x14ac:dyDescent="0.2">
      <c r="A39" s="12" t="s">
        <v>30</v>
      </c>
      <c r="B39" s="12"/>
      <c r="C39" s="9"/>
      <c r="D39" s="9"/>
      <c r="E39" s="9"/>
      <c r="F39" s="9"/>
      <c r="G39" s="9"/>
    </row>
    <row r="40" spans="1:7" x14ac:dyDescent="0.2">
      <c r="A40" s="13" t="s">
        <v>36</v>
      </c>
      <c r="B40" s="5"/>
      <c r="C40" s="6"/>
      <c r="D40" s="6"/>
      <c r="E40" s="6"/>
      <c r="F40" s="6"/>
      <c r="G40" s="6"/>
    </row>
    <row r="41" spans="1:7" x14ac:dyDescent="0.2">
      <c r="A41" s="11" t="s">
        <v>37</v>
      </c>
      <c r="B41" s="5"/>
      <c r="C41" s="6"/>
      <c r="D41" s="6"/>
      <c r="E41" s="6"/>
      <c r="F41" s="6"/>
      <c r="G41" s="6"/>
    </row>
    <row r="42" spans="1:7" x14ac:dyDescent="0.2">
      <c r="A42" s="7" t="s">
        <v>38</v>
      </c>
      <c r="B42" s="8"/>
      <c r="C42" s="9"/>
      <c r="D42" s="9"/>
      <c r="E42" s="9"/>
      <c r="F42" s="9"/>
      <c r="G42" s="9"/>
    </row>
    <row r="43" spans="1:7" x14ac:dyDescent="0.2">
      <c r="A43" s="10" t="s">
        <v>39</v>
      </c>
      <c r="B43" s="10"/>
      <c r="C43" s="9"/>
      <c r="D43" s="9"/>
      <c r="E43" s="9"/>
      <c r="F43" s="9"/>
      <c r="G43" s="9"/>
    </row>
    <row r="44" spans="1:7" x14ac:dyDescent="0.2">
      <c r="A44" s="11" t="s">
        <v>40</v>
      </c>
      <c r="B44" s="5"/>
      <c r="C44" s="6"/>
      <c r="D44" s="6"/>
      <c r="E44" s="6"/>
      <c r="F44" s="6"/>
      <c r="G44" s="6"/>
    </row>
    <row r="45" spans="1:7" x14ac:dyDescent="0.2">
      <c r="A45" s="7" t="s">
        <v>41</v>
      </c>
      <c r="B45" s="8"/>
      <c r="C45" s="9"/>
      <c r="D45" s="9"/>
      <c r="E45" s="9"/>
      <c r="F45" s="9"/>
      <c r="G45" s="9"/>
    </row>
    <row r="46" spans="1:7" x14ac:dyDescent="0.2">
      <c r="A46" s="10" t="s">
        <v>42</v>
      </c>
      <c r="B46" s="10"/>
      <c r="C46" s="9"/>
      <c r="D46" s="9"/>
      <c r="E46" s="9"/>
      <c r="F46" s="9"/>
      <c r="G46" s="9"/>
    </row>
    <row r="47" spans="1:7" x14ac:dyDescent="0.2">
      <c r="A47" s="10" t="s">
        <v>43</v>
      </c>
      <c r="B47" s="10"/>
      <c r="C47" s="9"/>
      <c r="D47" s="9"/>
      <c r="E47" s="9"/>
      <c r="F47" s="9"/>
      <c r="G47" s="9"/>
    </row>
    <row r="48" spans="1:7" x14ac:dyDescent="0.2">
      <c r="A48" s="11" t="s">
        <v>44</v>
      </c>
      <c r="B48" s="5"/>
      <c r="C48" s="6"/>
      <c r="D48" s="6"/>
      <c r="E48" s="6"/>
      <c r="F48" s="6"/>
      <c r="G48" s="6"/>
    </row>
    <row r="49" spans="1:7" x14ac:dyDescent="0.2">
      <c r="A49" s="5" t="s">
        <v>45</v>
      </c>
      <c r="B49" s="5"/>
      <c r="C49" s="6"/>
      <c r="D49" s="6"/>
      <c r="E49" s="6"/>
      <c r="F49" s="6"/>
      <c r="G49" s="6"/>
    </row>
    <row r="50" spans="1:7" x14ac:dyDescent="0.2">
      <c r="A50" s="22" t="s">
        <v>46</v>
      </c>
      <c r="B50" s="30"/>
      <c r="C50" s="31"/>
      <c r="D50" s="31"/>
      <c r="E50" s="31"/>
      <c r="F50" s="31"/>
      <c r="G50" s="32"/>
    </row>
    <row r="51" spans="1:7" x14ac:dyDescent="0.2">
      <c r="A51" s="14" t="s">
        <v>47</v>
      </c>
      <c r="B51" s="14"/>
      <c r="C51" s="15"/>
      <c r="D51" s="15"/>
      <c r="E51" s="15"/>
      <c r="F51" s="15"/>
      <c r="G51" s="15"/>
    </row>
    <row r="52" spans="1:7" ht="16" thickBot="1" x14ac:dyDescent="0.25"/>
    <row r="53" spans="1:7" ht="19" thickBot="1" x14ac:dyDescent="0.25">
      <c r="A53" s="16" t="s">
        <v>48</v>
      </c>
      <c r="B53" s="24"/>
      <c r="C53" s="24"/>
      <c r="D53" s="24"/>
      <c r="E53" s="24"/>
      <c r="F53" s="24"/>
      <c r="G53" s="25"/>
    </row>
    <row r="54" spans="1:7" ht="16" x14ac:dyDescent="0.2">
      <c r="A54" s="23"/>
      <c r="B54" s="26">
        <v>2022</v>
      </c>
      <c r="C54" s="26">
        <v>2023</v>
      </c>
      <c r="D54" s="26">
        <v>2024</v>
      </c>
      <c r="E54" s="26">
        <v>2025</v>
      </c>
      <c r="F54" s="26">
        <v>2026</v>
      </c>
      <c r="G54" s="26">
        <v>2027</v>
      </c>
    </row>
    <row r="55" spans="1:7" x14ac:dyDescent="0.2">
      <c r="A55" s="22" t="s">
        <v>49</v>
      </c>
      <c r="B55" s="27"/>
      <c r="C55" s="28"/>
      <c r="D55" s="28"/>
      <c r="E55" s="28"/>
      <c r="F55" s="28"/>
      <c r="G55" s="29"/>
    </row>
    <row r="56" spans="1:7" x14ac:dyDescent="0.2">
      <c r="A56" s="8" t="s">
        <v>50</v>
      </c>
      <c r="B56" s="8"/>
      <c r="C56" s="9"/>
      <c r="D56" s="9"/>
      <c r="E56" s="9"/>
      <c r="F56" s="9"/>
      <c r="G56" s="9"/>
    </row>
    <row r="57" spans="1:7" x14ac:dyDescent="0.2">
      <c r="A57" s="8" t="s">
        <v>51</v>
      </c>
      <c r="B57" s="8"/>
      <c r="C57" s="9"/>
      <c r="D57" s="9"/>
      <c r="E57" s="9"/>
      <c r="F57" s="9"/>
      <c r="G57" s="9"/>
    </row>
    <row r="58" spans="1:7" x14ac:dyDescent="0.2">
      <c r="A58" s="8" t="s">
        <v>52</v>
      </c>
      <c r="B58" s="8"/>
      <c r="C58" s="9"/>
      <c r="D58" s="9"/>
      <c r="E58" s="9"/>
      <c r="F58" s="9"/>
      <c r="G58" s="9"/>
    </row>
    <row r="59" spans="1:7" x14ac:dyDescent="0.2">
      <c r="A59" s="8" t="s">
        <v>53</v>
      </c>
      <c r="B59" s="8"/>
      <c r="C59" s="9"/>
      <c r="D59" s="9"/>
      <c r="E59" s="9"/>
      <c r="F59" s="9"/>
      <c r="G59" s="9"/>
    </row>
    <row r="60" spans="1:7" x14ac:dyDescent="0.2">
      <c r="A60" s="8" t="s">
        <v>54</v>
      </c>
      <c r="B60" s="8"/>
      <c r="C60" s="9"/>
      <c r="D60" s="9"/>
      <c r="E60" s="9"/>
      <c r="F60" s="9"/>
      <c r="G60" s="9"/>
    </row>
    <row r="61" spans="1:7" x14ac:dyDescent="0.2">
      <c r="A61" s="7" t="s">
        <v>55</v>
      </c>
      <c r="B61" s="8"/>
      <c r="C61" s="9"/>
      <c r="D61" s="9"/>
      <c r="E61" s="9"/>
      <c r="F61" s="9"/>
      <c r="G61" s="9"/>
    </row>
    <row r="62" spans="1:7" x14ac:dyDescent="0.2">
      <c r="A62" s="10" t="s">
        <v>56</v>
      </c>
      <c r="B62" s="10"/>
      <c r="C62" s="9"/>
      <c r="D62" s="9"/>
      <c r="E62" s="9"/>
      <c r="F62" s="9"/>
      <c r="G62" s="9"/>
    </row>
    <row r="63" spans="1:7" x14ac:dyDescent="0.2">
      <c r="A63" s="10" t="s">
        <v>57</v>
      </c>
      <c r="B63" s="10"/>
      <c r="C63" s="9"/>
      <c r="D63" s="9"/>
      <c r="E63" s="9"/>
      <c r="F63" s="9"/>
      <c r="G63" s="9"/>
    </row>
    <row r="64" spans="1:7" x14ac:dyDescent="0.2">
      <c r="A64" s="10" t="s">
        <v>58</v>
      </c>
      <c r="B64" s="10"/>
      <c r="C64" s="9"/>
      <c r="D64" s="9"/>
      <c r="E64" s="9"/>
      <c r="F64" s="9"/>
      <c r="G64" s="9"/>
    </row>
    <row r="65" spans="1:7" x14ac:dyDescent="0.2">
      <c r="A65" s="11" t="s">
        <v>59</v>
      </c>
      <c r="B65" s="5"/>
      <c r="C65" s="6"/>
      <c r="D65" s="6"/>
      <c r="E65" s="6"/>
      <c r="F65" s="6"/>
      <c r="G65" s="6"/>
    </row>
    <row r="66" spans="1:7" x14ac:dyDescent="0.2">
      <c r="A66" s="8" t="s">
        <v>60</v>
      </c>
      <c r="B66" s="8"/>
      <c r="C66" s="9"/>
      <c r="D66" s="9"/>
      <c r="E66" s="9"/>
      <c r="F66" s="9"/>
      <c r="G66" s="9"/>
    </row>
    <row r="67" spans="1:7" x14ac:dyDescent="0.2">
      <c r="A67" s="8" t="s">
        <v>61</v>
      </c>
      <c r="B67" s="8"/>
      <c r="C67" s="9"/>
      <c r="D67" s="9"/>
      <c r="E67" s="9"/>
      <c r="F67" s="9"/>
      <c r="G67" s="9"/>
    </row>
    <row r="68" spans="1:7" x14ac:dyDescent="0.2">
      <c r="A68" s="8" t="s">
        <v>62</v>
      </c>
      <c r="B68" s="8"/>
      <c r="C68" s="9"/>
      <c r="D68" s="9"/>
      <c r="E68" s="9"/>
      <c r="F68" s="9"/>
      <c r="G68" s="9"/>
    </row>
    <row r="69" spans="1:7" x14ac:dyDescent="0.2">
      <c r="A69" s="8" t="s">
        <v>63</v>
      </c>
      <c r="B69" s="8"/>
      <c r="C69" s="9"/>
      <c r="D69" s="9"/>
      <c r="E69" s="9"/>
      <c r="F69" s="9"/>
      <c r="G69" s="9"/>
    </row>
    <row r="70" spans="1:7" x14ac:dyDescent="0.2">
      <c r="A70" s="8" t="s">
        <v>64</v>
      </c>
      <c r="B70" s="8"/>
      <c r="C70" s="9"/>
      <c r="D70" s="9"/>
      <c r="E70" s="9"/>
      <c r="F70" s="9"/>
      <c r="G70" s="9"/>
    </row>
    <row r="71" spans="1:7" x14ac:dyDescent="0.2">
      <c r="A71" s="5" t="s">
        <v>65</v>
      </c>
      <c r="B71" s="5"/>
      <c r="C71" s="6"/>
      <c r="D71" s="6"/>
      <c r="E71" s="6"/>
      <c r="F71" s="6"/>
      <c r="G71" s="6"/>
    </row>
    <row r="72" spans="1:7" x14ac:dyDescent="0.2">
      <c r="A72" s="22" t="s">
        <v>66</v>
      </c>
      <c r="B72" s="30"/>
      <c r="C72" s="31"/>
      <c r="D72" s="31"/>
      <c r="E72" s="31"/>
      <c r="F72" s="31"/>
      <c r="G72" s="32"/>
    </row>
    <row r="73" spans="1:7" x14ac:dyDescent="0.2">
      <c r="A73" s="8" t="s">
        <v>67</v>
      </c>
      <c r="B73" s="8"/>
      <c r="C73" s="9"/>
      <c r="D73" s="9"/>
      <c r="E73" s="9"/>
      <c r="F73" s="9"/>
      <c r="G73" s="9"/>
    </row>
    <row r="74" spans="1:7" x14ac:dyDescent="0.2">
      <c r="A74" s="8" t="s">
        <v>68</v>
      </c>
      <c r="B74" s="8"/>
      <c r="C74" s="9"/>
      <c r="D74" s="9"/>
      <c r="E74" s="9"/>
      <c r="F74" s="9"/>
      <c r="G74" s="9"/>
    </row>
    <row r="75" spans="1:7" x14ac:dyDescent="0.2">
      <c r="A75" s="8" t="s">
        <v>69</v>
      </c>
      <c r="B75" s="8"/>
      <c r="C75" s="9"/>
      <c r="D75" s="9"/>
      <c r="E75" s="9"/>
      <c r="F75" s="9"/>
      <c r="G75" s="9"/>
    </row>
    <row r="76" spans="1:7" x14ac:dyDescent="0.2">
      <c r="A76" s="8" t="s">
        <v>70</v>
      </c>
      <c r="B76" s="8"/>
      <c r="C76" s="9"/>
      <c r="D76" s="9"/>
      <c r="E76" s="9"/>
      <c r="F76" s="9"/>
      <c r="G76" s="9"/>
    </row>
    <row r="77" spans="1:7" x14ac:dyDescent="0.2">
      <c r="A77" s="5" t="s">
        <v>71</v>
      </c>
      <c r="B77" s="5"/>
      <c r="C77" s="6"/>
      <c r="D77" s="6"/>
      <c r="E77" s="6"/>
      <c r="F77" s="6"/>
      <c r="G77" s="6"/>
    </row>
    <row r="78" spans="1:7" x14ac:dyDescent="0.2">
      <c r="A78" s="22" t="s">
        <v>72</v>
      </c>
      <c r="B78" s="30"/>
      <c r="C78" s="31"/>
      <c r="D78" s="31"/>
      <c r="E78" s="31"/>
      <c r="F78" s="31"/>
      <c r="G78" s="32"/>
    </row>
    <row r="79" spans="1:7" x14ac:dyDescent="0.2">
      <c r="A79" s="22" t="s">
        <v>73</v>
      </c>
      <c r="B79" s="30"/>
      <c r="C79" s="31"/>
      <c r="D79" s="31"/>
      <c r="E79" s="31"/>
      <c r="F79" s="31"/>
      <c r="G79" s="32"/>
    </row>
    <row r="80" spans="1:7" x14ac:dyDescent="0.2">
      <c r="A80" s="8" t="s">
        <v>74</v>
      </c>
      <c r="B80" s="8"/>
      <c r="C80" s="9"/>
      <c r="D80" s="9"/>
      <c r="E80" s="9"/>
      <c r="F80" s="9"/>
      <c r="G80" s="9"/>
    </row>
    <row r="81" spans="1:7" x14ac:dyDescent="0.2">
      <c r="A81" s="10" t="s">
        <v>30</v>
      </c>
      <c r="B81" s="10"/>
      <c r="C81" s="9"/>
      <c r="D81" s="9"/>
      <c r="E81" s="9"/>
      <c r="F81" s="9"/>
      <c r="G81" s="9"/>
    </row>
    <row r="82" spans="1:7" x14ac:dyDescent="0.2">
      <c r="A82" s="11" t="s">
        <v>75</v>
      </c>
      <c r="B82" s="5"/>
      <c r="C82" s="6"/>
      <c r="D82" s="6"/>
      <c r="E82" s="6"/>
      <c r="F82" s="6"/>
      <c r="G82" s="6"/>
    </row>
    <row r="83" spans="1:7" x14ac:dyDescent="0.2">
      <c r="A83" s="8" t="s">
        <v>76</v>
      </c>
      <c r="B83" s="8"/>
      <c r="C83" s="9"/>
      <c r="D83" s="9"/>
      <c r="E83" s="9"/>
      <c r="F83" s="9"/>
      <c r="G83" s="9"/>
    </row>
    <row r="84" spans="1:7" x14ac:dyDescent="0.2">
      <c r="A84" s="10" t="s">
        <v>30</v>
      </c>
      <c r="B84" s="10"/>
      <c r="C84" s="9"/>
      <c r="D84" s="9"/>
      <c r="E84" s="9"/>
      <c r="F84" s="9"/>
      <c r="G84" s="9"/>
    </row>
    <row r="85" spans="1:7" x14ac:dyDescent="0.2">
      <c r="A85" s="10" t="s">
        <v>77</v>
      </c>
      <c r="B85" s="10"/>
      <c r="C85" s="9"/>
      <c r="D85" s="9"/>
      <c r="E85" s="9"/>
      <c r="F85" s="9"/>
      <c r="G85" s="9"/>
    </row>
    <row r="86" spans="1:7" x14ac:dyDescent="0.2">
      <c r="A86" s="11" t="s">
        <v>78</v>
      </c>
      <c r="B86" s="5"/>
      <c r="C86" s="6"/>
      <c r="D86" s="6"/>
      <c r="E86" s="6"/>
      <c r="F86" s="6"/>
      <c r="G86" s="6"/>
    </row>
    <row r="87" spans="1:7" x14ac:dyDescent="0.2">
      <c r="A87" s="8" t="s">
        <v>79</v>
      </c>
      <c r="B87" s="8"/>
      <c r="C87" s="9"/>
      <c r="D87" s="9"/>
      <c r="E87" s="9"/>
      <c r="F87" s="9"/>
      <c r="G87" s="9"/>
    </row>
    <row r="88" spans="1:7" x14ac:dyDescent="0.2">
      <c r="A88" s="10" t="s">
        <v>30</v>
      </c>
      <c r="B88" s="10"/>
      <c r="C88" s="9"/>
      <c r="D88" s="9"/>
      <c r="E88" s="9"/>
      <c r="F88" s="9"/>
      <c r="G88" s="9"/>
    </row>
    <row r="89" spans="1:7" x14ac:dyDescent="0.2">
      <c r="A89" s="11" t="s">
        <v>80</v>
      </c>
      <c r="B89" s="5"/>
      <c r="C89" s="6"/>
      <c r="D89" s="6"/>
      <c r="E89" s="6"/>
      <c r="F89" s="6"/>
      <c r="G89" s="6"/>
    </row>
    <row r="90" spans="1:7" x14ac:dyDescent="0.2">
      <c r="A90" s="8" t="s">
        <v>81</v>
      </c>
      <c r="B90" s="8"/>
      <c r="C90" s="9"/>
      <c r="D90" s="9"/>
      <c r="E90" s="9"/>
      <c r="F90" s="9"/>
      <c r="G90" s="9"/>
    </row>
    <row r="91" spans="1:7" x14ac:dyDescent="0.2">
      <c r="A91" s="10" t="s">
        <v>30</v>
      </c>
      <c r="B91" s="10"/>
      <c r="C91" s="9"/>
      <c r="D91" s="9"/>
      <c r="E91" s="9"/>
      <c r="F91" s="9"/>
      <c r="G91" s="9"/>
    </row>
    <row r="92" spans="1:7" x14ac:dyDescent="0.2">
      <c r="A92" s="11" t="s">
        <v>82</v>
      </c>
      <c r="B92" s="5"/>
      <c r="C92" s="6"/>
      <c r="D92" s="6"/>
      <c r="E92" s="6"/>
      <c r="F92" s="6"/>
      <c r="G92" s="6"/>
    </row>
    <row r="93" spans="1:7" x14ac:dyDescent="0.2">
      <c r="A93" s="8" t="s">
        <v>83</v>
      </c>
      <c r="B93" s="8"/>
      <c r="C93" s="9"/>
      <c r="D93" s="9"/>
      <c r="E93" s="9"/>
      <c r="F93" s="9"/>
      <c r="G93" s="9"/>
    </row>
    <row r="94" spans="1:7" x14ac:dyDescent="0.2">
      <c r="A94" s="10" t="s">
        <v>30</v>
      </c>
      <c r="B94" s="10"/>
      <c r="C94" s="9"/>
      <c r="D94" s="9"/>
      <c r="E94" s="9"/>
      <c r="F94" s="9"/>
      <c r="G94" s="9"/>
    </row>
    <row r="95" spans="1:7" x14ac:dyDescent="0.2">
      <c r="A95" s="11" t="s">
        <v>84</v>
      </c>
      <c r="B95" s="5"/>
      <c r="C95" s="6"/>
      <c r="D95" s="6"/>
      <c r="E95" s="6"/>
      <c r="F95" s="6"/>
      <c r="G95" s="6"/>
    </row>
    <row r="96" spans="1:7" x14ac:dyDescent="0.2">
      <c r="A96" s="8" t="s">
        <v>85</v>
      </c>
      <c r="B96" s="8"/>
      <c r="C96" s="9"/>
      <c r="D96" s="9"/>
      <c r="E96" s="9"/>
      <c r="F96" s="9"/>
      <c r="G96" s="9"/>
    </row>
    <row r="97" spans="1:7" x14ac:dyDescent="0.2">
      <c r="A97" s="10" t="s">
        <v>30</v>
      </c>
      <c r="B97" s="10"/>
      <c r="C97" s="9"/>
      <c r="D97" s="9"/>
      <c r="E97" s="9"/>
      <c r="F97" s="9"/>
      <c r="G97" s="9"/>
    </row>
    <row r="98" spans="1:7" x14ac:dyDescent="0.2">
      <c r="A98" s="11" t="s">
        <v>86</v>
      </c>
      <c r="B98" s="5"/>
      <c r="C98" s="6"/>
      <c r="D98" s="6"/>
      <c r="E98" s="6"/>
      <c r="F98" s="6"/>
      <c r="G98" s="6"/>
    </row>
    <row r="99" spans="1:7" x14ac:dyDescent="0.2">
      <c r="A99" s="5" t="s">
        <v>87</v>
      </c>
      <c r="B99" s="5"/>
      <c r="C99" s="6"/>
      <c r="D99" s="6"/>
      <c r="E99" s="6"/>
      <c r="F99" s="6"/>
      <c r="G99" s="6"/>
    </row>
    <row r="100" spans="1:7" x14ac:dyDescent="0.2">
      <c r="A100" s="22" t="s">
        <v>88</v>
      </c>
      <c r="B100" s="30"/>
      <c r="C100" s="31"/>
      <c r="D100" s="31"/>
      <c r="E100" s="31"/>
      <c r="F100" s="31"/>
      <c r="G100" s="32"/>
    </row>
    <row r="101" spans="1:7" x14ac:dyDescent="0.2">
      <c r="A101" s="14" t="s">
        <v>89</v>
      </c>
      <c r="B101" s="14"/>
      <c r="C101" s="15"/>
      <c r="D101" s="15"/>
      <c r="E101" s="15"/>
      <c r="F101" s="15"/>
      <c r="G101" s="15"/>
    </row>
  </sheetData>
  <mergeCells count="11">
    <mergeCell ref="A1:G1"/>
    <mergeCell ref="A53:G53"/>
    <mergeCell ref="B3:G3"/>
    <mergeCell ref="B5:G5"/>
    <mergeCell ref="B24:G24"/>
    <mergeCell ref="B50:G50"/>
    <mergeCell ref="B55:G55"/>
    <mergeCell ref="B72:G72"/>
    <mergeCell ref="B78:G78"/>
    <mergeCell ref="B79:G79"/>
    <mergeCell ref="B100:G100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5"/>
  <sheetViews>
    <sheetView zoomScale="85" zoomScaleNormal="100" workbookViewId="0">
      <pane ySplit="2" topLeftCell="A3" activePane="bottomLeft" state="frozen"/>
      <selection pane="bottomLeft" activeCell="B2" sqref="B2:F2"/>
    </sheetView>
  </sheetViews>
  <sheetFormatPr baseColWidth="10" defaultColWidth="8.6640625" defaultRowHeight="15" x14ac:dyDescent="0.2"/>
  <cols>
    <col min="1" max="1" width="65" customWidth="1"/>
    <col min="2" max="7" width="16" customWidth="1"/>
  </cols>
  <sheetData>
    <row r="1" spans="1:7" ht="19" thickBot="1" x14ac:dyDescent="0.25">
      <c r="A1" s="16" t="s">
        <v>90</v>
      </c>
      <c r="B1" s="17"/>
      <c r="C1" s="17"/>
      <c r="D1" s="17"/>
      <c r="E1" s="17"/>
      <c r="F1" s="17"/>
      <c r="G1" s="18"/>
    </row>
    <row r="2" spans="1:7" ht="16" x14ac:dyDescent="0.2">
      <c r="A2" s="21" t="s">
        <v>91</v>
      </c>
      <c r="B2" s="20">
        <v>2022</v>
      </c>
      <c r="C2" s="20">
        <v>2023</v>
      </c>
      <c r="D2" s="20">
        <v>2024</v>
      </c>
      <c r="E2" s="20">
        <v>2025</v>
      </c>
      <c r="F2" s="20">
        <v>2026</v>
      </c>
      <c r="G2" s="20">
        <v>2027</v>
      </c>
    </row>
    <row r="3" spans="1:7" x14ac:dyDescent="0.2">
      <c r="A3" s="22" t="s">
        <v>92</v>
      </c>
      <c r="B3" s="22"/>
      <c r="C3" s="4"/>
      <c r="D3" s="4"/>
      <c r="E3" s="4"/>
      <c r="F3" s="4"/>
      <c r="G3" s="4"/>
    </row>
    <row r="4" spans="1:7" x14ac:dyDescent="0.2">
      <c r="A4" s="8" t="s">
        <v>93</v>
      </c>
      <c r="B4" s="8"/>
      <c r="C4" s="9"/>
      <c r="D4" s="9"/>
      <c r="E4" s="9"/>
      <c r="F4" s="9"/>
      <c r="G4" s="9"/>
    </row>
    <row r="5" spans="1:7" x14ac:dyDescent="0.2">
      <c r="A5" s="8" t="s">
        <v>94</v>
      </c>
      <c r="B5" s="8"/>
      <c r="C5" s="9"/>
      <c r="D5" s="9"/>
      <c r="E5" s="9"/>
      <c r="F5" s="9"/>
      <c r="G5" s="9"/>
    </row>
    <row r="6" spans="1:7" x14ac:dyDescent="0.2">
      <c r="A6" s="7" t="s">
        <v>95</v>
      </c>
      <c r="B6" s="8"/>
      <c r="C6" s="9"/>
      <c r="D6" s="9"/>
      <c r="E6" s="9"/>
      <c r="F6" s="9"/>
      <c r="G6" s="9"/>
    </row>
    <row r="7" spans="1:7" x14ac:dyDescent="0.2">
      <c r="A7" s="10" t="s">
        <v>96</v>
      </c>
      <c r="B7" s="10"/>
      <c r="C7" s="9"/>
      <c r="D7" s="9"/>
      <c r="E7" s="9"/>
      <c r="F7" s="9"/>
      <c r="G7" s="9"/>
    </row>
    <row r="8" spans="1:7" x14ac:dyDescent="0.2">
      <c r="A8" s="10" t="s">
        <v>97</v>
      </c>
      <c r="B8" s="10"/>
      <c r="C8" s="9"/>
      <c r="D8" s="9"/>
      <c r="E8" s="9"/>
      <c r="F8" s="9"/>
      <c r="G8" s="9"/>
    </row>
    <row r="9" spans="1:7" x14ac:dyDescent="0.2">
      <c r="A9" s="11" t="s">
        <v>98</v>
      </c>
      <c r="B9" s="5"/>
      <c r="C9" s="6"/>
      <c r="D9" s="6"/>
      <c r="E9" s="6"/>
      <c r="F9" s="6"/>
      <c r="G9" s="6"/>
    </row>
    <row r="10" spans="1:7" x14ac:dyDescent="0.2">
      <c r="A10" s="5" t="s">
        <v>99</v>
      </c>
      <c r="B10" s="5"/>
      <c r="C10" s="6"/>
      <c r="D10" s="6"/>
      <c r="E10" s="6"/>
      <c r="F10" s="6"/>
      <c r="G10" s="6"/>
    </row>
    <row r="11" spans="1:7" x14ac:dyDescent="0.2">
      <c r="A11" s="1" t="s">
        <v>100</v>
      </c>
      <c r="B11" s="1"/>
      <c r="C11" s="4"/>
      <c r="D11" s="4"/>
      <c r="E11" s="4"/>
      <c r="F11" s="4"/>
      <c r="G11" s="4"/>
    </row>
    <row r="12" spans="1:7" x14ac:dyDescent="0.2">
      <c r="A12" s="8" t="s">
        <v>101</v>
      </c>
      <c r="B12" s="8"/>
      <c r="C12" s="9"/>
      <c r="D12" s="9"/>
      <c r="E12" s="9"/>
      <c r="F12" s="9"/>
      <c r="G12" s="9"/>
    </row>
    <row r="13" spans="1:7" x14ac:dyDescent="0.2">
      <c r="A13" s="8" t="s">
        <v>102</v>
      </c>
      <c r="B13" s="8"/>
      <c r="C13" s="9"/>
      <c r="D13" s="9"/>
      <c r="E13" s="9"/>
      <c r="F13" s="9"/>
      <c r="G13" s="9"/>
    </row>
    <row r="14" spans="1:7" x14ac:dyDescent="0.2">
      <c r="A14" s="8" t="s">
        <v>103</v>
      </c>
      <c r="B14" s="8"/>
      <c r="C14" s="9"/>
      <c r="D14" s="9"/>
      <c r="E14" s="9"/>
      <c r="F14" s="9"/>
      <c r="G14" s="9"/>
    </row>
    <row r="15" spans="1:7" x14ac:dyDescent="0.2">
      <c r="A15" s="7" t="s">
        <v>104</v>
      </c>
      <c r="B15" s="8"/>
      <c r="C15" s="9"/>
      <c r="D15" s="9"/>
      <c r="E15" s="9"/>
      <c r="F15" s="9"/>
      <c r="G15" s="9"/>
    </row>
    <row r="16" spans="1:7" x14ac:dyDescent="0.2">
      <c r="A16" s="10" t="s">
        <v>105</v>
      </c>
      <c r="B16" s="10"/>
      <c r="C16" s="9"/>
      <c r="D16" s="9"/>
      <c r="E16" s="9"/>
      <c r="F16" s="9"/>
      <c r="G16" s="9"/>
    </row>
    <row r="17" spans="1:7" x14ac:dyDescent="0.2">
      <c r="A17" s="10" t="s">
        <v>106</v>
      </c>
      <c r="B17" s="10"/>
      <c r="C17" s="9"/>
      <c r="D17" s="9"/>
      <c r="E17" s="9"/>
      <c r="F17" s="9"/>
      <c r="G17" s="9"/>
    </row>
    <row r="18" spans="1:7" x14ac:dyDescent="0.2">
      <c r="A18" s="10" t="s">
        <v>107</v>
      </c>
      <c r="B18" s="10"/>
      <c r="C18" s="9"/>
      <c r="D18" s="9"/>
      <c r="E18" s="9"/>
      <c r="F18" s="9"/>
      <c r="G18" s="9"/>
    </row>
    <row r="19" spans="1:7" x14ac:dyDescent="0.2">
      <c r="A19" s="10" t="s">
        <v>108</v>
      </c>
      <c r="B19" s="10"/>
      <c r="C19" s="9"/>
      <c r="D19" s="9"/>
      <c r="E19" s="9"/>
      <c r="F19" s="9"/>
      <c r="G19" s="9"/>
    </row>
    <row r="20" spans="1:7" x14ac:dyDescent="0.2">
      <c r="A20" s="11" t="s">
        <v>109</v>
      </c>
      <c r="B20" s="5"/>
      <c r="C20" s="6"/>
      <c r="D20" s="6"/>
      <c r="E20" s="6"/>
      <c r="F20" s="6"/>
      <c r="G20" s="6"/>
    </row>
    <row r="21" spans="1:7" x14ac:dyDescent="0.2">
      <c r="A21" s="7" t="s">
        <v>110</v>
      </c>
      <c r="B21" s="8"/>
      <c r="C21" s="9"/>
      <c r="D21" s="9"/>
      <c r="E21" s="9"/>
      <c r="F21" s="9"/>
      <c r="G21" s="9"/>
    </row>
    <row r="22" spans="1:7" x14ac:dyDescent="0.2">
      <c r="A22" s="10" t="s">
        <v>111</v>
      </c>
      <c r="B22" s="10"/>
      <c r="C22" s="9"/>
      <c r="D22" s="9"/>
      <c r="E22" s="9"/>
      <c r="F22" s="9"/>
      <c r="G22" s="9"/>
    </row>
    <row r="23" spans="1:7" x14ac:dyDescent="0.2">
      <c r="A23" s="10" t="s">
        <v>112</v>
      </c>
      <c r="B23" s="10"/>
      <c r="C23" s="9"/>
      <c r="D23" s="9"/>
      <c r="E23" s="9"/>
      <c r="F23" s="9"/>
      <c r="G23" s="9"/>
    </row>
    <row r="24" spans="1:7" x14ac:dyDescent="0.2">
      <c r="A24" s="10" t="s">
        <v>113</v>
      </c>
      <c r="B24" s="10"/>
      <c r="C24" s="9"/>
      <c r="D24" s="9"/>
      <c r="E24" s="9"/>
      <c r="F24" s="9"/>
      <c r="G24" s="9"/>
    </row>
    <row r="25" spans="1:7" x14ac:dyDescent="0.2">
      <c r="A25" s="11" t="s">
        <v>114</v>
      </c>
      <c r="B25" s="5"/>
      <c r="C25" s="6"/>
      <c r="D25" s="6"/>
      <c r="E25" s="6"/>
      <c r="F25" s="6"/>
      <c r="G25" s="6"/>
    </row>
    <row r="26" spans="1:7" x14ac:dyDescent="0.2">
      <c r="A26" s="8" t="s">
        <v>115</v>
      </c>
      <c r="B26" s="8"/>
      <c r="C26" s="9"/>
      <c r="D26" s="9"/>
      <c r="E26" s="9"/>
      <c r="F26" s="9"/>
      <c r="G26" s="9"/>
    </row>
    <row r="27" spans="1:7" x14ac:dyDescent="0.2">
      <c r="A27" s="8" t="s">
        <v>116</v>
      </c>
      <c r="B27" s="8"/>
      <c r="C27" s="9"/>
      <c r="D27" s="9"/>
      <c r="E27" s="9"/>
      <c r="F27" s="9"/>
      <c r="G27" s="9"/>
    </row>
    <row r="28" spans="1:7" x14ac:dyDescent="0.2">
      <c r="A28" s="8" t="s">
        <v>117</v>
      </c>
      <c r="B28" s="8"/>
      <c r="C28" s="9"/>
      <c r="D28" s="9"/>
      <c r="E28" s="9"/>
      <c r="F28" s="9"/>
      <c r="G28" s="9"/>
    </row>
    <row r="29" spans="1:7" x14ac:dyDescent="0.2">
      <c r="A29" s="5" t="s">
        <v>118</v>
      </c>
      <c r="B29" s="5"/>
      <c r="C29" s="6"/>
      <c r="D29" s="6"/>
      <c r="E29" s="6"/>
      <c r="F29" s="6"/>
      <c r="G29" s="6"/>
    </row>
    <row r="30" spans="1:7" x14ac:dyDescent="0.2">
      <c r="A30" s="14" t="s">
        <v>119</v>
      </c>
      <c r="B30" s="14"/>
      <c r="C30" s="15"/>
      <c r="D30" s="15"/>
      <c r="E30" s="15"/>
      <c r="F30" s="15"/>
      <c r="G30" s="15"/>
    </row>
    <row r="31" spans="1:7" x14ac:dyDescent="0.2">
      <c r="A31" s="1" t="s">
        <v>120</v>
      </c>
      <c r="B31" s="1"/>
      <c r="C31" s="4"/>
      <c r="D31" s="4"/>
      <c r="E31" s="4"/>
      <c r="F31" s="4"/>
      <c r="G31" s="4"/>
    </row>
    <row r="32" spans="1:7" x14ac:dyDescent="0.2">
      <c r="A32" s="7" t="s">
        <v>121</v>
      </c>
      <c r="B32" s="8"/>
      <c r="C32" s="9"/>
      <c r="D32" s="9"/>
      <c r="E32" s="9"/>
      <c r="F32" s="9"/>
      <c r="G32" s="9"/>
    </row>
    <row r="33" spans="1:7" x14ac:dyDescent="0.2">
      <c r="A33" s="10" t="s">
        <v>122</v>
      </c>
      <c r="B33" s="10"/>
      <c r="C33" s="9"/>
      <c r="D33" s="9"/>
      <c r="E33" s="9"/>
      <c r="F33" s="9"/>
      <c r="G33" s="9"/>
    </row>
    <row r="34" spans="1:7" x14ac:dyDescent="0.2">
      <c r="A34" s="12" t="s">
        <v>97</v>
      </c>
      <c r="B34" s="12"/>
      <c r="C34" s="9"/>
      <c r="D34" s="9"/>
      <c r="E34" s="9"/>
      <c r="F34" s="9"/>
      <c r="G34" s="9"/>
    </row>
    <row r="35" spans="1:7" x14ac:dyDescent="0.2">
      <c r="A35" s="13" t="s">
        <v>123</v>
      </c>
      <c r="B35" s="5"/>
      <c r="C35" s="6"/>
      <c r="D35" s="6"/>
      <c r="E35" s="6"/>
      <c r="F35" s="6"/>
      <c r="G35" s="6"/>
    </row>
    <row r="36" spans="1:7" x14ac:dyDescent="0.2">
      <c r="A36" s="11" t="s">
        <v>124</v>
      </c>
      <c r="B36" s="5"/>
      <c r="C36" s="6"/>
      <c r="D36" s="6"/>
      <c r="E36" s="6"/>
      <c r="F36" s="6"/>
      <c r="G36" s="6"/>
    </row>
    <row r="37" spans="1:7" x14ac:dyDescent="0.2">
      <c r="A37" s="7" t="s">
        <v>125</v>
      </c>
      <c r="B37" s="8"/>
      <c r="C37" s="9"/>
      <c r="D37" s="9"/>
      <c r="E37" s="9"/>
      <c r="F37" s="9"/>
      <c r="G37" s="9"/>
    </row>
    <row r="38" spans="1:7" x14ac:dyDescent="0.2">
      <c r="A38" s="10" t="s">
        <v>97</v>
      </c>
      <c r="B38" s="10"/>
      <c r="C38" s="9"/>
      <c r="D38" s="9"/>
      <c r="E38" s="9"/>
      <c r="F38" s="9"/>
      <c r="G38" s="9"/>
    </row>
    <row r="39" spans="1:7" x14ac:dyDescent="0.2">
      <c r="A39" s="11" t="s">
        <v>126</v>
      </c>
      <c r="B39" s="5"/>
      <c r="C39" s="6"/>
      <c r="D39" s="6"/>
      <c r="E39" s="6"/>
      <c r="F39" s="6"/>
      <c r="G39" s="6"/>
    </row>
    <row r="40" spans="1:7" x14ac:dyDescent="0.2">
      <c r="A40" s="8" t="s">
        <v>127</v>
      </c>
      <c r="B40" s="8"/>
      <c r="C40" s="9"/>
      <c r="D40" s="9"/>
      <c r="E40" s="9"/>
      <c r="F40" s="9"/>
      <c r="G40" s="9"/>
    </row>
    <row r="41" spans="1:7" x14ac:dyDescent="0.2">
      <c r="A41" s="5" t="s">
        <v>128</v>
      </c>
      <c r="B41" s="5"/>
      <c r="C41" s="6"/>
      <c r="D41" s="6"/>
      <c r="E41" s="6"/>
      <c r="F41" s="6"/>
      <c r="G41" s="6"/>
    </row>
    <row r="42" spans="1:7" x14ac:dyDescent="0.2">
      <c r="A42" s="1" t="s">
        <v>129</v>
      </c>
      <c r="B42" s="1"/>
      <c r="C42" s="4"/>
      <c r="D42" s="4"/>
      <c r="E42" s="4"/>
      <c r="F42" s="4"/>
      <c r="G42" s="4"/>
    </row>
    <row r="43" spans="1:7" x14ac:dyDescent="0.2">
      <c r="A43" s="7" t="s">
        <v>130</v>
      </c>
      <c r="B43" s="8"/>
      <c r="C43" s="9"/>
      <c r="D43" s="9"/>
      <c r="E43" s="9"/>
      <c r="F43" s="9"/>
      <c r="G43" s="9"/>
    </row>
    <row r="44" spans="1:7" x14ac:dyDescent="0.2">
      <c r="A44" s="10" t="s">
        <v>131</v>
      </c>
      <c r="B44" s="10"/>
      <c r="C44" s="9"/>
      <c r="D44" s="9"/>
      <c r="E44" s="9"/>
      <c r="F44" s="9"/>
      <c r="G44" s="9"/>
    </row>
    <row r="45" spans="1:7" x14ac:dyDescent="0.2">
      <c r="A45" s="11" t="s">
        <v>132</v>
      </c>
      <c r="B45" s="5"/>
      <c r="C45" s="6"/>
      <c r="D45" s="6"/>
      <c r="E45" s="6"/>
      <c r="F45" s="6"/>
      <c r="G45" s="6"/>
    </row>
    <row r="46" spans="1:7" x14ac:dyDescent="0.2">
      <c r="A46" s="7" t="s">
        <v>133</v>
      </c>
      <c r="B46" s="8"/>
      <c r="C46" s="9"/>
      <c r="D46" s="9"/>
      <c r="E46" s="9"/>
      <c r="F46" s="9"/>
      <c r="G46" s="9"/>
    </row>
    <row r="47" spans="1:7" x14ac:dyDescent="0.2">
      <c r="A47" s="10" t="s">
        <v>131</v>
      </c>
      <c r="B47" s="10"/>
      <c r="C47" s="9"/>
      <c r="D47" s="9"/>
      <c r="E47" s="9"/>
      <c r="F47" s="9"/>
      <c r="G47" s="9"/>
    </row>
    <row r="48" spans="1:7" x14ac:dyDescent="0.2">
      <c r="A48" s="11" t="s">
        <v>134</v>
      </c>
      <c r="B48" s="5"/>
      <c r="C48" s="6"/>
      <c r="D48" s="6"/>
      <c r="E48" s="6"/>
      <c r="F48" s="6"/>
      <c r="G48" s="6"/>
    </row>
    <row r="49" spans="1:7" x14ac:dyDescent="0.2">
      <c r="A49" s="5" t="s">
        <v>135</v>
      </c>
      <c r="B49" s="5"/>
      <c r="C49" s="6"/>
      <c r="D49" s="6"/>
      <c r="E49" s="6"/>
      <c r="F49" s="6"/>
      <c r="G49" s="6"/>
    </row>
    <row r="50" spans="1:7" x14ac:dyDescent="0.2">
      <c r="A50" s="14" t="s">
        <v>136</v>
      </c>
      <c r="B50" s="14"/>
      <c r="C50" s="15"/>
      <c r="D50" s="15"/>
      <c r="E50" s="15"/>
      <c r="F50" s="15"/>
      <c r="G50" s="15"/>
    </row>
    <row r="51" spans="1:7" x14ac:dyDescent="0.2">
      <c r="A51" s="7" t="s">
        <v>137</v>
      </c>
      <c r="B51" s="8"/>
      <c r="C51" s="9"/>
      <c r="D51" s="9"/>
      <c r="E51" s="9"/>
      <c r="F51" s="9"/>
      <c r="G51" s="9"/>
    </row>
    <row r="52" spans="1:7" x14ac:dyDescent="0.2">
      <c r="A52" s="10" t="s">
        <v>138</v>
      </c>
      <c r="B52" s="10"/>
      <c r="C52" s="9"/>
      <c r="D52" s="9"/>
      <c r="E52" s="9"/>
      <c r="F52" s="9"/>
      <c r="G52" s="9"/>
    </row>
    <row r="53" spans="1:7" x14ac:dyDescent="0.2">
      <c r="A53" s="10" t="s">
        <v>139</v>
      </c>
      <c r="B53" s="10"/>
      <c r="C53" s="9"/>
      <c r="D53" s="9"/>
      <c r="E53" s="9"/>
      <c r="F53" s="9"/>
      <c r="G53" s="9"/>
    </row>
    <row r="54" spans="1:7" x14ac:dyDescent="0.2">
      <c r="A54" s="11" t="s">
        <v>140</v>
      </c>
      <c r="B54" s="5"/>
      <c r="C54" s="6"/>
      <c r="D54" s="6"/>
      <c r="E54" s="6"/>
      <c r="F54" s="6"/>
      <c r="G54" s="6"/>
    </row>
    <row r="55" spans="1:7" x14ac:dyDescent="0.2">
      <c r="A55" s="14" t="s">
        <v>141</v>
      </c>
      <c r="B55" s="14"/>
      <c r="C55" s="15"/>
      <c r="D55" s="15"/>
      <c r="E55" s="15"/>
      <c r="F55" s="15"/>
      <c r="G55" s="15"/>
    </row>
  </sheetData>
  <mergeCells count="4">
    <mergeCell ref="A11:B11"/>
    <mergeCell ref="A31:B31"/>
    <mergeCell ref="A42:B42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E8423-B0CA-DC40-8146-FC3FB771D745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45F1C-B0B1-C448-B410-45581335EE86}">
  <dimension ref="A1:I27"/>
  <sheetViews>
    <sheetView zoomScale="84" workbookViewId="0">
      <selection activeCell="D34" sqref="D34"/>
    </sheetView>
  </sheetViews>
  <sheetFormatPr baseColWidth="10" defaultRowHeight="15" x14ac:dyDescent="0.2"/>
  <cols>
    <col min="1" max="1" width="29" customWidth="1"/>
    <col min="2" max="8" width="16" customWidth="1"/>
    <col min="9" max="9" width="37.5" customWidth="1"/>
  </cols>
  <sheetData>
    <row r="1" spans="1:9" ht="19" thickBot="1" x14ac:dyDescent="0.25">
      <c r="A1" s="2" t="s">
        <v>171</v>
      </c>
      <c r="B1" s="2"/>
      <c r="C1" s="2"/>
      <c r="D1" s="2"/>
      <c r="E1" s="2"/>
      <c r="F1" s="2"/>
      <c r="G1" s="2"/>
      <c r="H1" s="2"/>
      <c r="I1" s="2"/>
    </row>
    <row r="2" spans="1:9" ht="16" x14ac:dyDescent="0.2">
      <c r="A2" s="19" t="s">
        <v>172</v>
      </c>
      <c r="B2" s="56">
        <v>2022</v>
      </c>
      <c r="C2" s="56">
        <v>2023</v>
      </c>
      <c r="D2" s="56">
        <v>2024</v>
      </c>
      <c r="E2" s="56">
        <v>2025</v>
      </c>
      <c r="F2" s="56">
        <v>2026</v>
      </c>
      <c r="G2" s="56">
        <v>2027</v>
      </c>
      <c r="H2" s="56" t="s">
        <v>173</v>
      </c>
      <c r="I2" s="58" t="s">
        <v>174</v>
      </c>
    </row>
    <row r="3" spans="1:9" x14ac:dyDescent="0.2">
      <c r="A3" s="46" t="s">
        <v>175</v>
      </c>
      <c r="B3" s="30"/>
      <c r="C3" s="31"/>
      <c r="D3" s="31"/>
      <c r="E3" s="31"/>
      <c r="F3" s="31"/>
      <c r="G3" s="55"/>
      <c r="H3" s="55"/>
      <c r="I3" s="57"/>
    </row>
    <row r="4" spans="1:9" x14ac:dyDescent="0.2">
      <c r="A4" s="8" t="s">
        <v>176</v>
      </c>
      <c r="B4" s="43"/>
      <c r="C4" s="43"/>
      <c r="D4" s="43"/>
      <c r="E4" s="43"/>
      <c r="F4" s="43"/>
      <c r="G4" s="43"/>
      <c r="H4" s="43" t="str">
        <f t="shared" ref="H4:H9" si="0">IFERROR(AVERAGE(B4:F4),"-")</f>
        <v>-</v>
      </c>
      <c r="I4" s="44" t="s">
        <v>177</v>
      </c>
    </row>
    <row r="5" spans="1:9" x14ac:dyDescent="0.2">
      <c r="A5" s="8" t="s">
        <v>178</v>
      </c>
      <c r="B5" s="43"/>
      <c r="C5" s="43"/>
      <c r="D5" s="43"/>
      <c r="E5" s="43"/>
      <c r="F5" s="43"/>
      <c r="G5" s="43"/>
      <c r="H5" s="43" t="str">
        <f t="shared" si="0"/>
        <v>-</v>
      </c>
      <c r="I5" s="44" t="s">
        <v>179</v>
      </c>
    </row>
    <row r="6" spans="1:9" x14ac:dyDescent="0.2">
      <c r="A6" s="8" t="s">
        <v>180</v>
      </c>
      <c r="B6" s="43"/>
      <c r="C6" s="43"/>
      <c r="D6" s="43"/>
      <c r="E6" s="43"/>
      <c r="F6" s="43"/>
      <c r="G6" s="43"/>
      <c r="H6" s="43" t="str">
        <f t="shared" si="0"/>
        <v>-</v>
      </c>
      <c r="I6" s="44" t="s">
        <v>181</v>
      </c>
    </row>
    <row r="7" spans="1:9" x14ac:dyDescent="0.2">
      <c r="A7" s="8" t="s">
        <v>182</v>
      </c>
      <c r="B7" s="43"/>
      <c r="C7" s="43"/>
      <c r="D7" s="43"/>
      <c r="E7" s="43"/>
      <c r="F7" s="43"/>
      <c r="G7" s="43"/>
      <c r="H7" s="43" t="str">
        <f t="shared" si="0"/>
        <v>-</v>
      </c>
      <c r="I7" s="44" t="s">
        <v>183</v>
      </c>
    </row>
    <row r="8" spans="1:9" x14ac:dyDescent="0.2">
      <c r="A8" s="8" t="s">
        <v>184</v>
      </c>
      <c r="B8" s="43"/>
      <c r="C8" s="43"/>
      <c r="D8" s="43"/>
      <c r="E8" s="43"/>
      <c r="F8" s="43"/>
      <c r="G8" s="43"/>
      <c r="H8" s="43" t="str">
        <f t="shared" si="0"/>
        <v>-</v>
      </c>
      <c r="I8" s="44" t="s">
        <v>185</v>
      </c>
    </row>
    <row r="9" spans="1:9" x14ac:dyDescent="0.2">
      <c r="A9" s="8" t="s">
        <v>186</v>
      </c>
      <c r="B9" s="43"/>
      <c r="C9" s="43"/>
      <c r="D9" s="43"/>
      <c r="E9" s="43"/>
      <c r="F9" s="43"/>
      <c r="G9" s="43"/>
      <c r="H9" s="43" t="str">
        <f t="shared" si="0"/>
        <v>-</v>
      </c>
      <c r="I9" s="44" t="s">
        <v>187</v>
      </c>
    </row>
    <row r="10" spans="1:9" x14ac:dyDescent="0.2">
      <c r="A10" s="22" t="s">
        <v>188</v>
      </c>
      <c r="B10" s="31"/>
      <c r="C10" s="31"/>
      <c r="D10" s="31"/>
      <c r="E10" s="31"/>
      <c r="F10" s="31"/>
      <c r="G10" s="31"/>
      <c r="H10" s="31"/>
      <c r="I10" s="32"/>
    </row>
    <row r="11" spans="1:9" x14ac:dyDescent="0.2">
      <c r="A11" s="8" t="s">
        <v>189</v>
      </c>
      <c r="B11" s="45"/>
      <c r="C11" s="45"/>
      <c r="D11" s="45"/>
      <c r="E11" s="45"/>
      <c r="F11" s="45"/>
      <c r="G11" s="45"/>
      <c r="H11" s="45" t="str">
        <f t="shared" ref="H11:H16" si="1">IFERROR(AVERAGE(B11:F11),"-")</f>
        <v>-</v>
      </c>
      <c r="I11" s="44" t="s">
        <v>190</v>
      </c>
    </row>
    <row r="12" spans="1:9" x14ac:dyDescent="0.2">
      <c r="A12" s="8" t="s">
        <v>191</v>
      </c>
      <c r="B12" s="9"/>
      <c r="C12" s="9"/>
      <c r="D12" s="9"/>
      <c r="E12" s="9"/>
      <c r="F12" s="9"/>
      <c r="G12" s="9"/>
      <c r="H12" s="9" t="str">
        <f t="shared" si="1"/>
        <v>-</v>
      </c>
      <c r="I12" s="44" t="s">
        <v>192</v>
      </c>
    </row>
    <row r="13" spans="1:9" x14ac:dyDescent="0.2">
      <c r="A13" s="8" t="s">
        <v>193</v>
      </c>
      <c r="B13" s="45"/>
      <c r="C13" s="45"/>
      <c r="D13" s="45"/>
      <c r="E13" s="45"/>
      <c r="F13" s="45"/>
      <c r="G13" s="45"/>
      <c r="H13" s="45" t="str">
        <f t="shared" si="1"/>
        <v>-</v>
      </c>
      <c r="I13" s="44" t="s">
        <v>194</v>
      </c>
    </row>
    <row r="14" spans="1:9" x14ac:dyDescent="0.2">
      <c r="A14" s="8" t="s">
        <v>195</v>
      </c>
      <c r="B14" s="9"/>
      <c r="C14" s="9"/>
      <c r="D14" s="9"/>
      <c r="E14" s="9"/>
      <c r="F14" s="9"/>
      <c r="G14" s="9"/>
      <c r="H14" s="9" t="str">
        <f t="shared" si="1"/>
        <v>-</v>
      </c>
      <c r="I14" s="44" t="s">
        <v>196</v>
      </c>
    </row>
    <row r="15" spans="1:9" x14ac:dyDescent="0.2">
      <c r="A15" s="8" t="s">
        <v>197</v>
      </c>
      <c r="B15" s="9"/>
      <c r="C15" s="9"/>
      <c r="D15" s="9"/>
      <c r="E15" s="9"/>
      <c r="F15" s="9"/>
      <c r="G15" s="9"/>
      <c r="H15" s="9" t="str">
        <f t="shared" si="1"/>
        <v>-</v>
      </c>
      <c r="I15" s="44" t="s">
        <v>198</v>
      </c>
    </row>
    <row r="16" spans="1:9" x14ac:dyDescent="0.2">
      <c r="A16" s="8" t="s">
        <v>199</v>
      </c>
      <c r="B16" s="45"/>
      <c r="C16" s="45"/>
      <c r="D16" s="45"/>
      <c r="E16" s="45"/>
      <c r="F16" s="45"/>
      <c r="G16" s="45"/>
      <c r="H16" s="45" t="str">
        <f t="shared" si="1"/>
        <v>-</v>
      </c>
      <c r="I16" s="44" t="s">
        <v>200</v>
      </c>
    </row>
    <row r="17" spans="1:9" x14ac:dyDescent="0.2">
      <c r="A17" s="22" t="s">
        <v>201</v>
      </c>
      <c r="B17" s="31"/>
      <c r="C17" s="31"/>
      <c r="D17" s="31"/>
      <c r="E17" s="31"/>
      <c r="F17" s="31"/>
      <c r="G17" s="31"/>
      <c r="H17" s="31"/>
      <c r="I17" s="32"/>
    </row>
    <row r="18" spans="1:9" x14ac:dyDescent="0.2">
      <c r="A18" s="8" t="s">
        <v>202</v>
      </c>
      <c r="B18" s="43"/>
      <c r="C18" s="43"/>
      <c r="D18" s="43"/>
      <c r="E18" s="43"/>
      <c r="F18" s="43"/>
      <c r="G18" s="43"/>
      <c r="H18" s="43" t="str">
        <f>IFERROR(AVERAGE(B18:F18),"-")</f>
        <v>-</v>
      </c>
      <c r="I18" s="44" t="s">
        <v>203</v>
      </c>
    </row>
    <row r="19" spans="1:9" x14ac:dyDescent="0.2">
      <c r="A19" s="8" t="s">
        <v>204</v>
      </c>
      <c r="B19" s="9"/>
      <c r="C19" s="9"/>
      <c r="D19" s="9"/>
      <c r="E19" s="9"/>
      <c r="F19" s="9"/>
      <c r="G19" s="9"/>
      <c r="H19" s="9" t="str">
        <f>IFERROR(AVERAGE(B19:F19),"-")</f>
        <v>-</v>
      </c>
      <c r="I19" s="44" t="s">
        <v>205</v>
      </c>
    </row>
    <row r="20" spans="1:9" x14ac:dyDescent="0.2">
      <c r="A20" s="8" t="s">
        <v>206</v>
      </c>
      <c r="B20" s="9"/>
      <c r="C20" s="9"/>
      <c r="D20" s="9"/>
      <c r="E20" s="9"/>
      <c r="F20" s="9"/>
      <c r="G20" s="9"/>
      <c r="H20" s="9" t="str">
        <f>IFERROR(AVERAGE(B20:F20),"-")</f>
        <v>-</v>
      </c>
      <c r="I20" s="44" t="s">
        <v>207</v>
      </c>
    </row>
    <row r="21" spans="1:9" x14ac:dyDescent="0.2">
      <c r="A21" s="22" t="s">
        <v>208</v>
      </c>
      <c r="B21" s="31"/>
      <c r="C21" s="31"/>
      <c r="D21" s="31"/>
      <c r="E21" s="31"/>
      <c r="F21" s="31"/>
      <c r="G21" s="31"/>
      <c r="H21" s="31"/>
      <c r="I21" s="32"/>
    </row>
    <row r="22" spans="1:9" x14ac:dyDescent="0.2">
      <c r="A22" s="8" t="s">
        <v>209</v>
      </c>
      <c r="B22" s="9"/>
      <c r="C22" s="9"/>
      <c r="D22" s="9"/>
      <c r="E22" s="9"/>
      <c r="F22" s="9"/>
      <c r="G22" s="9"/>
      <c r="H22" s="9" t="str">
        <f t="shared" ref="H22:H27" si="2">IFERROR(AVERAGE(B22:F22),"-")</f>
        <v>-</v>
      </c>
      <c r="I22" s="44" t="s">
        <v>210</v>
      </c>
    </row>
    <row r="23" spans="1:9" x14ac:dyDescent="0.2">
      <c r="A23" s="8" t="s">
        <v>211</v>
      </c>
      <c r="B23" s="9"/>
      <c r="C23" s="9"/>
      <c r="D23" s="9"/>
      <c r="E23" s="9"/>
      <c r="F23" s="9"/>
      <c r="G23" s="9"/>
      <c r="H23" s="9" t="str">
        <f t="shared" si="2"/>
        <v>-</v>
      </c>
      <c r="I23" s="44" t="s">
        <v>212</v>
      </c>
    </row>
    <row r="24" spans="1:9" x14ac:dyDescent="0.2">
      <c r="A24" s="8" t="s">
        <v>213</v>
      </c>
      <c r="B24" s="9"/>
      <c r="C24" s="9"/>
      <c r="D24" s="9"/>
      <c r="E24" s="9"/>
      <c r="F24" s="9"/>
      <c r="G24" s="9"/>
      <c r="H24" s="9" t="str">
        <f t="shared" si="2"/>
        <v>-</v>
      </c>
      <c r="I24" s="44" t="s">
        <v>214</v>
      </c>
    </row>
    <row r="25" spans="1:9" x14ac:dyDescent="0.2">
      <c r="A25" s="8" t="s">
        <v>215</v>
      </c>
      <c r="B25" s="45"/>
      <c r="C25" s="45"/>
      <c r="D25" s="45"/>
      <c r="E25" s="45"/>
      <c r="F25" s="45"/>
      <c r="G25" s="45"/>
      <c r="H25" s="45" t="str">
        <f t="shared" si="2"/>
        <v>-</v>
      </c>
      <c r="I25" s="44" t="s">
        <v>216</v>
      </c>
    </row>
    <row r="26" spans="1:9" x14ac:dyDescent="0.2">
      <c r="A26" s="8" t="s">
        <v>217</v>
      </c>
      <c r="B26" s="43"/>
      <c r="C26" s="43"/>
      <c r="D26" s="43"/>
      <c r="E26" s="43"/>
      <c r="F26" s="43"/>
      <c r="G26" s="43"/>
      <c r="H26" s="43" t="str">
        <f t="shared" si="2"/>
        <v>-</v>
      </c>
      <c r="I26" s="44" t="s">
        <v>218</v>
      </c>
    </row>
    <row r="27" spans="1:9" x14ac:dyDescent="0.2">
      <c r="A27" s="8" t="s">
        <v>219</v>
      </c>
      <c r="B27" s="9"/>
      <c r="C27" s="9"/>
      <c r="D27" s="9"/>
      <c r="E27" s="9"/>
      <c r="F27" s="9"/>
      <c r="G27" s="9"/>
      <c r="H27" s="9" t="str">
        <f t="shared" si="2"/>
        <v>-</v>
      </c>
      <c r="I27" s="44" t="s">
        <v>220</v>
      </c>
    </row>
  </sheetData>
  <mergeCells count="5">
    <mergeCell ref="A1:I1"/>
    <mergeCell ref="B3:I3"/>
    <mergeCell ref="B10:I10"/>
    <mergeCell ref="B17:I17"/>
    <mergeCell ref="B21:I2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ADB2F-BF25-3941-B357-FED335692592}">
  <dimension ref="A1:G12"/>
  <sheetViews>
    <sheetView workbookViewId="0">
      <selection activeCell="F17" sqref="F17"/>
    </sheetView>
  </sheetViews>
  <sheetFormatPr baseColWidth="10" defaultRowHeight="15" x14ac:dyDescent="0.2"/>
  <cols>
    <col min="1" max="1" width="27.5" customWidth="1"/>
    <col min="2" max="7" width="16" customWidth="1"/>
  </cols>
  <sheetData>
    <row r="1" spans="1:7" ht="19" thickBot="1" x14ac:dyDescent="0.25">
      <c r="A1" s="2" t="s">
        <v>160</v>
      </c>
      <c r="B1" s="2"/>
      <c r="C1" s="2"/>
      <c r="D1" s="2"/>
      <c r="E1" s="2"/>
      <c r="F1" s="2"/>
      <c r="G1" s="2"/>
    </row>
    <row r="2" spans="1:7" x14ac:dyDescent="0.2">
      <c r="A2" s="38" t="s">
        <v>161</v>
      </c>
      <c r="B2" s="39"/>
      <c r="C2" s="40" t="s">
        <v>162</v>
      </c>
    </row>
    <row r="4" spans="1:7" x14ac:dyDescent="0.2">
      <c r="A4" s="3" t="s">
        <v>163</v>
      </c>
      <c r="B4" s="26">
        <v>2022</v>
      </c>
      <c r="C4" s="26">
        <v>2023</v>
      </c>
      <c r="D4" s="26">
        <v>2024</v>
      </c>
      <c r="E4" s="26">
        <v>2025</v>
      </c>
      <c r="F4" s="26">
        <v>2026</v>
      </c>
      <c r="G4" s="26">
        <v>2027</v>
      </c>
    </row>
    <row r="5" spans="1:7" x14ac:dyDescent="0.2">
      <c r="A5" s="8" t="s">
        <v>164</v>
      </c>
      <c r="B5" s="34"/>
      <c r="C5" s="34"/>
      <c r="D5" s="34"/>
      <c r="E5" s="34"/>
      <c r="F5" s="34"/>
      <c r="G5" s="34"/>
    </row>
    <row r="6" spans="1:7" x14ac:dyDescent="0.2">
      <c r="A6" s="8" t="s">
        <v>165</v>
      </c>
      <c r="B6" s="34">
        <f>B5/(1+$B$2)^0</f>
        <v>0</v>
      </c>
      <c r="C6" s="34">
        <f>C5/(1+$B$2)^1</f>
        <v>0</v>
      </c>
      <c r="D6" s="34">
        <f>D5/(1+$B$2)^2</f>
        <v>0</v>
      </c>
      <c r="E6" s="34">
        <f>E5/(1+$B$2)^3</f>
        <v>0</v>
      </c>
      <c r="F6" s="34">
        <f>F5/(1+$B$2)^4</f>
        <v>0</v>
      </c>
      <c r="G6" s="34">
        <f>G5/(1+$B$2)^5</f>
        <v>0</v>
      </c>
    </row>
    <row r="7" spans="1:7" x14ac:dyDescent="0.2">
      <c r="A7" s="8" t="s">
        <v>166</v>
      </c>
      <c r="B7" s="34">
        <f>B5</f>
        <v>0</v>
      </c>
      <c r="C7" s="34">
        <f>B7+C5</f>
        <v>0</v>
      </c>
      <c r="D7" s="34">
        <f>C7+D5</f>
        <v>0</v>
      </c>
      <c r="E7" s="34">
        <f>D7+E5</f>
        <v>0</v>
      </c>
      <c r="F7" s="34">
        <f>E7+F5</f>
        <v>0</v>
      </c>
      <c r="G7" s="34">
        <f>F7+G5</f>
        <v>0</v>
      </c>
    </row>
    <row r="9" spans="1:7" x14ac:dyDescent="0.2">
      <c r="A9" s="14" t="s">
        <v>167</v>
      </c>
      <c r="B9" s="36">
        <f>SUM(B6:G6)</f>
        <v>0</v>
      </c>
    </row>
    <row r="10" spans="1:7" x14ac:dyDescent="0.2">
      <c r="A10" s="14" t="s">
        <v>168</v>
      </c>
      <c r="B10" s="41" t="str">
        <f>IFERROR(IRR(B5:G5),"n.d.")</f>
        <v>n.d.</v>
      </c>
    </row>
    <row r="11" spans="1:7" x14ac:dyDescent="0.2">
      <c r="A11" s="5" t="s">
        <v>169</v>
      </c>
      <c r="B11" s="42" t="str">
        <f>IFERROR(SUM(C6:G6)/-B5,"n.d.")</f>
        <v>n.d.</v>
      </c>
    </row>
    <row r="12" spans="1:7" x14ac:dyDescent="0.2">
      <c r="A12" s="40" t="s">
        <v>170</v>
      </c>
    </row>
  </sheetData>
  <mergeCells count="1">
    <mergeCell ref="A1:G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2452F-35BC-A646-9543-F40805CE9CA9}">
  <dimension ref="A1:C17"/>
  <sheetViews>
    <sheetView workbookViewId="0">
      <selection activeCell="A2" sqref="A2"/>
    </sheetView>
  </sheetViews>
  <sheetFormatPr baseColWidth="10" defaultRowHeight="15" x14ac:dyDescent="0.2"/>
  <cols>
    <col min="1" max="1" width="42" customWidth="1"/>
    <col min="2" max="2" width="16" customWidth="1"/>
    <col min="3" max="3" width="42" customWidth="1"/>
  </cols>
  <sheetData>
    <row r="1" spans="1:3" ht="19" thickBot="1" x14ac:dyDescent="0.25">
      <c r="A1" s="2" t="s">
        <v>221</v>
      </c>
      <c r="B1" s="2"/>
      <c r="C1" s="2"/>
    </row>
    <row r="3" spans="1:3" x14ac:dyDescent="0.2">
      <c r="A3" s="37" t="s">
        <v>222</v>
      </c>
      <c r="B3" s="47"/>
    </row>
    <row r="4" spans="1:3" x14ac:dyDescent="0.2">
      <c r="A4" s="48" t="s">
        <v>223</v>
      </c>
      <c r="B4" s="39"/>
      <c r="C4" s="40" t="s">
        <v>224</v>
      </c>
    </row>
    <row r="5" spans="1:3" x14ac:dyDescent="0.2">
      <c r="A5" s="48" t="s">
        <v>225</v>
      </c>
      <c r="B5" s="49"/>
      <c r="C5" s="40" t="s">
        <v>226</v>
      </c>
    </row>
    <row r="6" spans="1:3" x14ac:dyDescent="0.2">
      <c r="A6" s="48" t="s">
        <v>227</v>
      </c>
      <c r="B6" s="39"/>
      <c r="C6" s="40" t="s">
        <v>228</v>
      </c>
    </row>
    <row r="7" spans="1:3" x14ac:dyDescent="0.2">
      <c r="A7" s="5" t="s">
        <v>229</v>
      </c>
      <c r="B7" s="50">
        <f>B4+B5*B6</f>
        <v>0</v>
      </c>
      <c r="C7" s="40" t="s">
        <v>230</v>
      </c>
    </row>
    <row r="8" spans="1:3" x14ac:dyDescent="0.2">
      <c r="A8" s="37" t="s">
        <v>231</v>
      </c>
      <c r="B8" s="47"/>
    </row>
    <row r="9" spans="1:3" x14ac:dyDescent="0.2">
      <c r="A9" s="48" t="s">
        <v>232</v>
      </c>
      <c r="B9" s="39"/>
      <c r="C9" s="40" t="s">
        <v>228</v>
      </c>
    </row>
    <row r="10" spans="1:3" x14ac:dyDescent="0.2">
      <c r="A10" s="48" t="s">
        <v>233</v>
      </c>
      <c r="B10" s="39"/>
      <c r="C10" s="40" t="s">
        <v>234</v>
      </c>
    </row>
    <row r="11" spans="1:3" x14ac:dyDescent="0.2">
      <c r="A11" s="5" t="s">
        <v>235</v>
      </c>
      <c r="B11" s="50">
        <f>B9*(1-B10)</f>
        <v>0</v>
      </c>
      <c r="C11" s="40" t="s">
        <v>236</v>
      </c>
    </row>
    <row r="12" spans="1:3" x14ac:dyDescent="0.2">
      <c r="A12" s="37" t="s">
        <v>237</v>
      </c>
      <c r="B12" s="47"/>
    </row>
    <row r="13" spans="1:3" x14ac:dyDescent="0.2">
      <c r="A13" s="48" t="s">
        <v>238</v>
      </c>
      <c r="B13" s="51"/>
      <c r="C13" s="40" t="s">
        <v>228</v>
      </c>
    </row>
    <row r="14" spans="1:3" x14ac:dyDescent="0.2">
      <c r="A14" s="48" t="s">
        <v>239</v>
      </c>
      <c r="B14" s="51"/>
      <c r="C14" s="40" t="s">
        <v>228</v>
      </c>
    </row>
    <row r="15" spans="1:3" x14ac:dyDescent="0.2">
      <c r="A15" s="52" t="s">
        <v>240</v>
      </c>
      <c r="B15" s="53">
        <f>IFERROR(B13/(B13+B14),0)</f>
        <v>0</v>
      </c>
    </row>
    <row r="16" spans="1:3" x14ac:dyDescent="0.2">
      <c r="A16" s="52" t="s">
        <v>241</v>
      </c>
      <c r="B16" s="53">
        <f>IFERROR(B14/(B13+B14),0)</f>
        <v>0</v>
      </c>
    </row>
    <row r="17" spans="1:3" x14ac:dyDescent="0.2">
      <c r="A17" s="14" t="s">
        <v>203</v>
      </c>
      <c r="B17" s="41">
        <f>B15*B7+B16*B11</f>
        <v>0</v>
      </c>
      <c r="C17" s="40" t="s">
        <v>242</v>
      </c>
    </row>
  </sheetData>
  <mergeCells count="1">
    <mergeCell ref="A1:C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B66BC-AEAB-C04F-92AA-924B4E5E1DE8}">
  <dimension ref="A1:Q22"/>
  <sheetViews>
    <sheetView workbookViewId="0">
      <selection activeCell="E35" sqref="E35"/>
    </sheetView>
  </sheetViews>
  <sheetFormatPr baseColWidth="10" defaultRowHeight="15" x14ac:dyDescent="0.2"/>
  <cols>
    <col min="1" max="1" width="22.83203125" customWidth="1"/>
    <col min="2" max="3" width="16" customWidth="1"/>
    <col min="4" max="4" width="22.83203125" customWidth="1"/>
    <col min="5" max="6" width="16" customWidth="1"/>
    <col min="7" max="7" width="22.83203125" customWidth="1"/>
    <col min="8" max="8" width="16" customWidth="1"/>
    <col min="10" max="10" width="22.83203125" customWidth="1"/>
    <col min="11" max="11" width="16" customWidth="1"/>
    <col min="13" max="13" width="22.83203125" customWidth="1"/>
    <col min="14" max="14" width="16" customWidth="1"/>
    <col min="16" max="16" width="22.83203125" customWidth="1"/>
    <col min="17" max="17" width="16" customWidth="1"/>
  </cols>
  <sheetData>
    <row r="1" spans="1:17" ht="19" thickBot="1" x14ac:dyDescent="0.25">
      <c r="A1" s="16" t="s">
        <v>142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8"/>
    </row>
    <row r="2" spans="1:17" x14ac:dyDescent="0.2">
      <c r="A2" s="54">
        <v>2022</v>
      </c>
      <c r="B2" s="54"/>
      <c r="D2" s="54">
        <v>2023</v>
      </c>
      <c r="E2" s="54"/>
      <c r="G2" s="54">
        <v>2024</v>
      </c>
      <c r="H2" s="54"/>
      <c r="J2" s="54">
        <v>2025</v>
      </c>
      <c r="K2" s="54"/>
      <c r="M2" s="54">
        <v>2026</v>
      </c>
      <c r="N2" s="54"/>
      <c r="P2" s="54">
        <v>2027</v>
      </c>
      <c r="Q2" s="54"/>
    </row>
    <row r="3" spans="1:17" x14ac:dyDescent="0.2">
      <c r="A3" s="33" t="s">
        <v>143</v>
      </c>
      <c r="B3" s="33"/>
      <c r="D3" s="33" t="s">
        <v>143</v>
      </c>
      <c r="E3" s="33"/>
      <c r="G3" s="33" t="s">
        <v>143</v>
      </c>
      <c r="H3" s="33"/>
      <c r="J3" s="33" t="s">
        <v>143</v>
      </c>
      <c r="K3" s="33"/>
      <c r="M3" s="33" t="s">
        <v>143</v>
      </c>
      <c r="N3" s="33"/>
      <c r="P3" s="33" t="s">
        <v>143</v>
      </c>
      <c r="Q3" s="33"/>
    </row>
    <row r="4" spans="1:17" x14ac:dyDescent="0.2">
      <c r="A4" s="8" t="s">
        <v>144</v>
      </c>
      <c r="B4" s="34"/>
      <c r="D4" s="8" t="s">
        <v>144</v>
      </c>
      <c r="E4" s="34"/>
      <c r="G4" s="8" t="s">
        <v>144</v>
      </c>
      <c r="H4" s="34"/>
      <c r="J4" s="8" t="s">
        <v>144</v>
      </c>
      <c r="K4" s="34"/>
      <c r="M4" s="8" t="s">
        <v>144</v>
      </c>
      <c r="N4" s="34"/>
      <c r="P4" s="8" t="s">
        <v>144</v>
      </c>
      <c r="Q4" s="34"/>
    </row>
    <row r="5" spans="1:17" x14ac:dyDescent="0.2">
      <c r="A5" s="8" t="s">
        <v>145</v>
      </c>
      <c r="B5" s="34"/>
      <c r="D5" s="8" t="s">
        <v>145</v>
      </c>
      <c r="E5" s="34"/>
      <c r="G5" s="8" t="s">
        <v>145</v>
      </c>
      <c r="H5" s="34"/>
      <c r="J5" s="8" t="s">
        <v>145</v>
      </c>
      <c r="K5" s="34"/>
      <c r="M5" s="8" t="s">
        <v>145</v>
      </c>
      <c r="N5" s="34"/>
      <c r="P5" s="8" t="s">
        <v>145</v>
      </c>
      <c r="Q5" s="34"/>
    </row>
    <row r="6" spans="1:17" x14ac:dyDescent="0.2">
      <c r="A6" s="8" t="s">
        <v>146</v>
      </c>
      <c r="B6" s="34"/>
      <c r="D6" s="8" t="s">
        <v>146</v>
      </c>
      <c r="E6" s="34"/>
      <c r="G6" s="8" t="s">
        <v>146</v>
      </c>
      <c r="H6" s="34"/>
      <c r="J6" s="8" t="s">
        <v>146</v>
      </c>
      <c r="K6" s="34"/>
      <c r="M6" s="8" t="s">
        <v>146</v>
      </c>
      <c r="N6" s="34"/>
      <c r="P6" s="8" t="s">
        <v>146</v>
      </c>
      <c r="Q6" s="34"/>
    </row>
    <row r="7" spans="1:17" x14ac:dyDescent="0.2">
      <c r="A7" s="8" t="s">
        <v>147</v>
      </c>
      <c r="B7" s="34"/>
      <c r="D7" s="8" t="s">
        <v>147</v>
      </c>
      <c r="E7" s="34"/>
      <c r="G7" s="8" t="s">
        <v>147</v>
      </c>
      <c r="H7" s="34"/>
      <c r="J7" s="8" t="s">
        <v>147</v>
      </c>
      <c r="K7" s="34"/>
      <c r="M7" s="8" t="s">
        <v>147</v>
      </c>
      <c r="N7" s="34"/>
      <c r="P7" s="8" t="s">
        <v>147</v>
      </c>
      <c r="Q7" s="34"/>
    </row>
    <row r="8" spans="1:17" x14ac:dyDescent="0.2">
      <c r="A8" s="8" t="s">
        <v>148</v>
      </c>
      <c r="B8" s="34"/>
      <c r="D8" s="8" t="s">
        <v>148</v>
      </c>
      <c r="E8" s="34"/>
      <c r="G8" s="8" t="s">
        <v>148</v>
      </c>
      <c r="H8" s="34"/>
      <c r="J8" s="8" t="s">
        <v>148</v>
      </c>
      <c r="K8" s="34"/>
      <c r="M8" s="8" t="s">
        <v>148</v>
      </c>
      <c r="N8" s="34"/>
      <c r="P8" s="8" t="s">
        <v>148</v>
      </c>
      <c r="Q8" s="34"/>
    </row>
    <row r="9" spans="1:17" x14ac:dyDescent="0.2">
      <c r="A9" s="8" t="s">
        <v>149</v>
      </c>
      <c r="B9" s="34"/>
      <c r="D9" s="8" t="s">
        <v>149</v>
      </c>
      <c r="E9" s="34"/>
      <c r="G9" s="8" t="s">
        <v>149</v>
      </c>
      <c r="H9" s="34"/>
      <c r="J9" s="8" t="s">
        <v>149</v>
      </c>
      <c r="K9" s="34"/>
      <c r="M9" s="8" t="s">
        <v>149</v>
      </c>
      <c r="N9" s="34"/>
      <c r="P9" s="8" t="s">
        <v>149</v>
      </c>
      <c r="Q9" s="34"/>
    </row>
    <row r="10" spans="1:17" x14ac:dyDescent="0.2">
      <c r="A10" s="8" t="s">
        <v>150</v>
      </c>
      <c r="B10" s="34"/>
      <c r="D10" s="8" t="s">
        <v>150</v>
      </c>
      <c r="E10" s="34"/>
      <c r="G10" s="8" t="s">
        <v>150</v>
      </c>
      <c r="H10" s="34"/>
      <c r="J10" s="8" t="s">
        <v>150</v>
      </c>
      <c r="K10" s="34"/>
      <c r="M10" s="8" t="s">
        <v>150</v>
      </c>
      <c r="N10" s="34"/>
      <c r="P10" s="8" t="s">
        <v>150</v>
      </c>
      <c r="Q10" s="34"/>
    </row>
    <row r="11" spans="1:17" x14ac:dyDescent="0.2">
      <c r="A11" s="8"/>
      <c r="B11" s="34"/>
      <c r="D11" s="8"/>
      <c r="E11" s="34"/>
      <c r="G11" s="8"/>
      <c r="H11" s="34"/>
      <c r="J11" s="8"/>
      <c r="K11" s="34"/>
      <c r="M11" s="8"/>
      <c r="N11" s="34"/>
      <c r="P11" s="8"/>
      <c r="Q11" s="34"/>
    </row>
    <row r="12" spans="1:17" x14ac:dyDescent="0.2">
      <c r="A12" s="5" t="s">
        <v>151</v>
      </c>
      <c r="B12" s="35">
        <f>SUM(B4:B11)</f>
        <v>0</v>
      </c>
      <c r="D12" s="5" t="s">
        <v>151</v>
      </c>
      <c r="E12" s="35">
        <f>SUM(E4:E11)</f>
        <v>0</v>
      </c>
      <c r="G12" s="5" t="s">
        <v>151</v>
      </c>
      <c r="H12" s="35">
        <f>SUM(H4:H11)</f>
        <v>0</v>
      </c>
      <c r="J12" s="5" t="s">
        <v>151</v>
      </c>
      <c r="K12" s="35">
        <f>SUM(K4:K11)</f>
        <v>0</v>
      </c>
      <c r="M12" s="5" t="s">
        <v>151</v>
      </c>
      <c r="N12" s="35">
        <f>SUM(N4:N11)</f>
        <v>0</v>
      </c>
      <c r="P12" s="5" t="s">
        <v>151</v>
      </c>
      <c r="Q12" s="35">
        <f>SUM(Q4:Q11)</f>
        <v>0</v>
      </c>
    </row>
    <row r="13" spans="1:17" x14ac:dyDescent="0.2">
      <c r="A13" s="33" t="s">
        <v>152</v>
      </c>
      <c r="B13" s="33"/>
      <c r="D13" s="33" t="s">
        <v>152</v>
      </c>
      <c r="E13" s="33"/>
      <c r="G13" s="33" t="s">
        <v>152</v>
      </c>
      <c r="H13" s="33"/>
      <c r="J13" s="33" t="s">
        <v>152</v>
      </c>
      <c r="K13" s="33"/>
      <c r="M13" s="33" t="s">
        <v>152</v>
      </c>
      <c r="N13" s="33"/>
      <c r="P13" s="33" t="s">
        <v>152</v>
      </c>
      <c r="Q13" s="33"/>
    </row>
    <row r="14" spans="1:17" x14ac:dyDescent="0.2">
      <c r="A14" s="8" t="s">
        <v>153</v>
      </c>
      <c r="B14" s="34"/>
      <c r="D14" s="8" t="s">
        <v>153</v>
      </c>
      <c r="E14" s="34"/>
      <c r="G14" s="8" t="s">
        <v>153</v>
      </c>
      <c r="H14" s="34"/>
      <c r="J14" s="8" t="s">
        <v>153</v>
      </c>
      <c r="K14" s="34"/>
      <c r="M14" s="8" t="s">
        <v>153</v>
      </c>
      <c r="N14" s="34"/>
      <c r="P14" s="8" t="s">
        <v>153</v>
      </c>
      <c r="Q14" s="34"/>
    </row>
    <row r="15" spans="1:17" x14ac:dyDescent="0.2">
      <c r="A15" s="8" t="s">
        <v>154</v>
      </c>
      <c r="B15" s="34"/>
      <c r="D15" s="8" t="s">
        <v>154</v>
      </c>
      <c r="E15" s="34"/>
      <c r="G15" s="8" t="s">
        <v>154</v>
      </c>
      <c r="H15" s="34"/>
      <c r="J15" s="8" t="s">
        <v>154</v>
      </c>
      <c r="K15" s="34"/>
      <c r="M15" s="8" t="s">
        <v>154</v>
      </c>
      <c r="N15" s="34"/>
      <c r="P15" s="8" t="s">
        <v>154</v>
      </c>
      <c r="Q15" s="34"/>
    </row>
    <row r="16" spans="1:17" x14ac:dyDescent="0.2">
      <c r="A16" s="8" t="s">
        <v>155</v>
      </c>
      <c r="B16" s="34"/>
      <c r="D16" s="8" t="s">
        <v>155</v>
      </c>
      <c r="E16" s="34"/>
      <c r="G16" s="8" t="s">
        <v>155</v>
      </c>
      <c r="H16" s="34"/>
      <c r="J16" s="8" t="s">
        <v>155</v>
      </c>
      <c r="K16" s="34"/>
      <c r="M16" s="8" t="s">
        <v>155</v>
      </c>
      <c r="N16" s="34"/>
      <c r="P16" s="8" t="s">
        <v>155</v>
      </c>
      <c r="Q16" s="34"/>
    </row>
    <row r="17" spans="1:17" x14ac:dyDescent="0.2">
      <c r="A17" s="8" t="s">
        <v>156</v>
      </c>
      <c r="B17" s="34"/>
      <c r="D17" s="8" t="s">
        <v>156</v>
      </c>
      <c r="E17" s="34"/>
      <c r="G17" s="8" t="s">
        <v>156</v>
      </c>
      <c r="H17" s="34"/>
      <c r="J17" s="8" t="s">
        <v>156</v>
      </c>
      <c r="K17" s="34"/>
      <c r="M17" s="8" t="s">
        <v>156</v>
      </c>
      <c r="N17" s="34"/>
      <c r="P17" s="8" t="s">
        <v>156</v>
      </c>
      <c r="Q17" s="34"/>
    </row>
    <row r="18" spans="1:17" x14ac:dyDescent="0.2">
      <c r="A18" s="8" t="s">
        <v>157</v>
      </c>
      <c r="B18" s="34"/>
      <c r="D18" s="8" t="s">
        <v>157</v>
      </c>
      <c r="E18" s="34"/>
      <c r="G18" s="8" t="s">
        <v>157</v>
      </c>
      <c r="H18" s="34"/>
      <c r="J18" s="8" t="s">
        <v>157</v>
      </c>
      <c r="K18" s="34"/>
      <c r="M18" s="8" t="s">
        <v>157</v>
      </c>
      <c r="N18" s="34"/>
      <c r="P18" s="8" t="s">
        <v>157</v>
      </c>
      <c r="Q18" s="34"/>
    </row>
    <row r="19" spans="1:17" x14ac:dyDescent="0.2">
      <c r="A19" s="8"/>
      <c r="B19" s="34"/>
      <c r="D19" s="8"/>
      <c r="E19" s="34"/>
      <c r="G19" s="8"/>
      <c r="H19" s="34"/>
      <c r="J19" s="8"/>
      <c r="K19" s="34"/>
      <c r="M19" s="8"/>
      <c r="N19" s="34"/>
      <c r="P19" s="8"/>
      <c r="Q19" s="34"/>
    </row>
    <row r="20" spans="1:17" x14ac:dyDescent="0.2">
      <c r="A20" s="5" t="s">
        <v>158</v>
      </c>
      <c r="B20" s="35">
        <f>SUM(B14:B19)</f>
        <v>0</v>
      </c>
      <c r="D20" s="5" t="s">
        <v>158</v>
      </c>
      <c r="E20" s="35">
        <f>SUM(E14:E19)</f>
        <v>0</v>
      </c>
      <c r="G20" s="5" t="s">
        <v>158</v>
      </c>
      <c r="H20" s="35">
        <f>SUM(H14:H19)</f>
        <v>0</v>
      </c>
      <c r="J20" s="5" t="s">
        <v>158</v>
      </c>
      <c r="K20" s="35">
        <f>SUM(K14:K19)</f>
        <v>0</v>
      </c>
      <c r="M20" s="5" t="s">
        <v>158</v>
      </c>
      <c r="N20" s="35">
        <f>SUM(N14:N19)</f>
        <v>0</v>
      </c>
      <c r="P20" s="5" t="s">
        <v>158</v>
      </c>
      <c r="Q20" s="35">
        <f>SUM(Q14:Q19)</f>
        <v>0</v>
      </c>
    </row>
    <row r="22" spans="1:17" x14ac:dyDescent="0.2">
      <c r="A22" s="14" t="s">
        <v>159</v>
      </c>
      <c r="B22" s="36">
        <f>B12+B20</f>
        <v>0</v>
      </c>
      <c r="D22" s="14" t="s">
        <v>159</v>
      </c>
      <c r="E22" s="36">
        <f>E12+E20</f>
        <v>0</v>
      </c>
      <c r="G22" s="14" t="s">
        <v>159</v>
      </c>
      <c r="H22" s="36">
        <f>H12+H20</f>
        <v>0</v>
      </c>
      <c r="J22" s="14" t="s">
        <v>159</v>
      </c>
      <c r="K22" s="36">
        <f>K12+K20</f>
        <v>0</v>
      </c>
      <c r="M22" s="14" t="s">
        <v>159</v>
      </c>
      <c r="N22" s="36">
        <f>N12+N20</f>
        <v>0</v>
      </c>
      <c r="P22" s="14" t="s">
        <v>159</v>
      </c>
      <c r="Q22" s="36">
        <f>Q12+Q20</f>
        <v>0</v>
      </c>
    </row>
  </sheetData>
  <mergeCells count="19">
    <mergeCell ref="M2:N2"/>
    <mergeCell ref="M3:N3"/>
    <mergeCell ref="M13:N13"/>
    <mergeCell ref="P2:Q2"/>
    <mergeCell ref="P3:Q3"/>
    <mergeCell ref="P13:Q13"/>
    <mergeCell ref="A13:B13"/>
    <mergeCell ref="D13:E13"/>
    <mergeCell ref="G2:H2"/>
    <mergeCell ref="G3:H3"/>
    <mergeCell ref="G13:H13"/>
    <mergeCell ref="J2:K2"/>
    <mergeCell ref="J3:K3"/>
    <mergeCell ref="J13:K13"/>
    <mergeCell ref="A2:B2"/>
    <mergeCell ref="D2:E2"/>
    <mergeCell ref="A3:B3"/>
    <mergeCell ref="D3:E3"/>
    <mergeCell ref="A1:Q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STATO PATRIMONIALE</vt:lpstr>
      <vt:lpstr>CONTO ECONOMICO</vt:lpstr>
      <vt:lpstr>RENDICONTO FINANZIARIO</vt:lpstr>
      <vt:lpstr>INDICI</vt:lpstr>
      <vt:lpstr>VALUTAZIONE INVESTIMENTI</vt:lpstr>
      <vt:lpstr>WACC</vt:lpstr>
      <vt:lpstr>STAFF DISTRIBUTION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Leonardo Pratelli</cp:lastModifiedBy>
  <cp:revision>0</cp:revision>
  <dcterms:created xsi:type="dcterms:W3CDTF">2026-06-13T20:16:08Z</dcterms:created>
  <dcterms:modified xsi:type="dcterms:W3CDTF">2026-06-13T21:27:01Z</dcterms:modified>
  <dc:language>en-US</dc:language>
</cp:coreProperties>
</file>