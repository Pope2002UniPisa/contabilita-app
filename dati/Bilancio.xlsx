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16980" windowHeight="21460" tabRatio="500" firstSheet="0" activeTab="0" autoFilterDateGrouping="1"/>
  </bookViews>
  <sheets>
    <sheet xmlns:r="http://schemas.openxmlformats.org/officeDocument/2006/relationships" name="STATO PATRIMONIALE" sheetId="1" state="visible" r:id="rId1"/>
    <sheet xmlns:r="http://schemas.openxmlformats.org/officeDocument/2006/relationships" name="CONTO ECONOMICO" sheetId="2" state="visible" r:id="rId2"/>
    <sheet xmlns:r="http://schemas.openxmlformats.org/officeDocument/2006/relationships" name="RENDICONTO FINANZIARIO" sheetId="3" state="visible" r:id="rId3"/>
    <sheet xmlns:r="http://schemas.openxmlformats.org/officeDocument/2006/relationships" name="INDICI" sheetId="4" state="visible" r:id="rId4"/>
    <sheet xmlns:r="http://schemas.openxmlformats.org/officeDocument/2006/relationships" name="VALUTAZIONE INVESTIMENTI" sheetId="5" state="visible" r:id="rId5"/>
    <sheet xmlns:r="http://schemas.openxmlformats.org/officeDocument/2006/relationships" name="WACC" sheetId="6" state="visible" r:id="rId6"/>
    <sheet xmlns:r="http://schemas.openxmlformats.org/officeDocument/2006/relationships" name="STAFF DISTRIBUTION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&quot;€ &quot;#,##0;&quot;(€ &quot;#,##0\);\-"/>
    <numFmt numFmtId="166" formatCode="0.0%;\(0.0%\);\-"/>
    <numFmt numFmtId="167" formatCode="0.00\x"/>
  </numFmts>
  <fonts count="6">
    <font>
      <name val="Calibri"/>
      <charset val="1"/>
      <family val="2"/>
      <color theme="1"/>
      <sz val="11"/>
    </font>
    <font>
      <name val="Aptos Narrow"/>
      <b val="1"/>
      <color rgb="FF000000"/>
      <sz val="13"/>
    </font>
    <font>
      <name val="Aptos Narrow"/>
      <b val="1"/>
      <color rgb="FF000000"/>
      <sz val="12"/>
    </font>
    <font>
      <name val="Aptos Narrow"/>
      <b val="1"/>
      <color rgb="FF000000"/>
      <sz val="11"/>
    </font>
    <font>
      <name val="Aptos Narrow"/>
      <color rgb="FF000000"/>
      <sz val="11"/>
    </font>
    <font>
      <name val="Aptos Narrow"/>
      <i val="1"/>
      <color rgb="FF595959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A9D08E"/>
        <bgColor rgb="FFBFBFBF"/>
      </patternFill>
    </fill>
    <fill>
      <patternFill patternType="solid">
        <fgColor theme="1"/>
        <bgColor rgb="FFF2F2F2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FBFBF"/>
      </left>
      <right/>
      <top style="thin">
        <color indexed="64"/>
      </top>
      <bottom style="thin">
        <color rgb="FFBFBFBF"/>
      </bottom>
      <diagonal/>
    </border>
    <border>
      <left/>
      <right/>
      <top style="thin">
        <color indexed="64"/>
      </top>
      <bottom style="thin">
        <color rgb="FFBFBFBF"/>
      </bottom>
      <diagonal/>
    </border>
    <border>
      <left/>
      <right style="thin">
        <color rgb="FFBFBFBF"/>
      </right>
      <top style="thin">
        <color indexed="64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BFBFBF"/>
      </right>
      <top style="thin">
        <color indexed="64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3" borderId="3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vertical="center" indent="1"/>
    </xf>
    <xf numFmtId="16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indent="2"/>
    </xf>
    <xf numFmtId="0" fontId="3" fillId="4" borderId="2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vertical="center" indent="3"/>
    </xf>
    <xf numFmtId="0" fontId="3" fillId="4" borderId="2" applyAlignment="1" pivotButton="0" quotePrefix="0" xfId="0">
      <alignment horizontal="left" vertical="center" indent="2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right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/>
    </xf>
    <xf numFmtId="0" fontId="2" fillId="6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5" fontId="4" fillId="0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166" fontId="4" fillId="2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3" fillId="5" borderId="2" applyAlignment="1" pivotButton="0" quotePrefix="0" xfId="0">
      <alignment horizontal="right" vertical="center"/>
    </xf>
    <xf numFmtId="167" fontId="3" fillId="4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167" fontId="4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vertical="center"/>
    </xf>
    <xf numFmtId="166" fontId="3" fillId="3" borderId="2" applyAlignment="1" pivotButton="0" quotePrefix="0" xfId="0">
      <alignment horizontal="right" vertical="center"/>
    </xf>
    <xf numFmtId="0" fontId="4" fillId="2" borderId="2" applyAlignment="1" pivotButton="0" quotePrefix="0" xfId="0">
      <alignment horizontal="left" vertical="center" indent="1"/>
    </xf>
    <xf numFmtId="2" fontId="4" fillId="2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  <xf numFmtId="164" fontId="4" fillId="2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indent="1"/>
    </xf>
    <xf numFmtId="166" fontId="4" fillId="4" borderId="2" applyAlignment="1" pivotButton="0" quotePrefix="0" xfId="0">
      <alignment horizontal="right" vertical="center"/>
    </xf>
    <xf numFmtId="0" fontId="3" fillId="2" borderId="9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3" borderId="2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7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tabSelected="1" zoomScale="118" zoomScaleNormal="100" workbookViewId="0">
      <pane ySplit="2" topLeftCell="A3" activePane="bottomLeft" state="frozen"/>
      <selection pane="bottomLeft" activeCell="G25" sqref="G25"/>
    </sheetView>
  </sheetViews>
  <sheetFormatPr baseColWidth="10" defaultColWidth="8.6640625" defaultRowHeight="15"/>
  <cols>
    <col width="53.1640625" customWidth="1" min="1" max="1"/>
    <col width="16" customWidth="1" min="2" max="4"/>
    <col width="17.33203125" customWidth="1" min="5" max="5"/>
    <col width="17.1640625" customWidth="1" min="6" max="7"/>
  </cols>
  <sheetData>
    <row r="1" ht="19" customHeight="1" thickBot="1">
      <c r="A1" s="2" t="inlineStr">
        <is>
          <t>STATO PATRIMONIALE — ATTIVO</t>
        </is>
      </c>
      <c r="B1" s="59" t="n"/>
      <c r="C1" s="59" t="n"/>
      <c r="D1" s="59" t="n"/>
      <c r="E1" s="59" t="n"/>
      <c r="F1" s="59" t="n"/>
      <c r="G1" s="60" t="n"/>
    </row>
    <row r="2" ht="16" customHeight="1">
      <c r="A2" s="23" t="n"/>
      <c r="B2" s="26" t="n">
        <v>2022</v>
      </c>
      <c r="C2" s="26" t="n">
        <v>2023</v>
      </c>
      <c r="D2" s="26" t="n">
        <v>2024</v>
      </c>
      <c r="E2" s="26" t="n">
        <v>2025</v>
      </c>
      <c r="F2" s="26" t="n">
        <v>2026</v>
      </c>
      <c r="G2" s="26" t="n">
        <v>2027</v>
      </c>
    </row>
    <row r="3">
      <c r="A3" s="22" t="inlineStr">
        <is>
          <t>A) CREDITI VERSO SOCI PER VERSAMENTI ANCORA DOVUTI</t>
        </is>
      </c>
      <c r="B3" s="61" t="n"/>
      <c r="C3" s="62" t="n"/>
      <c r="D3" s="62" t="n"/>
      <c r="E3" s="62" t="n"/>
      <c r="F3" s="62" t="n"/>
      <c r="G3" s="63" t="n"/>
    </row>
    <row r="4">
      <c r="A4" s="5" t="inlineStr">
        <is>
          <t>Totale crediti verso soci per versamenti ancora dovuti (A)</t>
        </is>
      </c>
      <c r="B4" s="5" t="n"/>
      <c r="C4" s="6" t="n"/>
      <c r="D4" s="6" t="n"/>
      <c r="E4" s="6" t="n"/>
      <c r="F4" s="6" t="n"/>
      <c r="G4" s="6" t="n"/>
    </row>
    <row r="5">
      <c r="A5" s="22" t="inlineStr">
        <is>
          <t>B) IMMOBILIZZAZIONI</t>
        </is>
      </c>
      <c r="B5" s="3" t="n"/>
      <c r="C5" s="64" t="n"/>
      <c r="D5" s="64" t="n"/>
      <c r="E5" s="64" t="n"/>
      <c r="F5" s="64" t="n"/>
      <c r="G5" s="65" t="n"/>
    </row>
    <row r="6">
      <c r="A6" s="7" t="inlineStr">
        <is>
          <t>I - Immobilizzazioni immateriali</t>
        </is>
      </c>
      <c r="B6" s="8" t="n"/>
      <c r="C6" s="9" t="n"/>
      <c r="D6" s="9" t="n"/>
      <c r="E6" s="9" t="n"/>
      <c r="F6" s="9" t="n"/>
      <c r="G6" s="9" t="n"/>
    </row>
    <row r="7">
      <c r="A7" s="10" t="inlineStr">
        <is>
          <t>2) Costi di sviluppo</t>
        </is>
      </c>
      <c r="B7" s="10" t="n"/>
      <c r="C7" s="9" t="n"/>
      <c r="D7" s="9" t="n"/>
      <c r="E7" s="9" t="n"/>
      <c r="F7" s="9" t="n"/>
      <c r="G7" s="9" t="n"/>
    </row>
    <row r="8">
      <c r="A8" s="10" t="inlineStr">
        <is>
          <t>4) Concessioni, licenze, marchi e diritti simili</t>
        </is>
      </c>
      <c r="B8" s="10" t="n"/>
      <c r="C8" s="9" t="n"/>
      <c r="D8" s="9" t="n"/>
      <c r="E8" s="9" t="n"/>
      <c r="F8" s="9" t="n"/>
      <c r="G8" s="9" t="n"/>
    </row>
    <row r="9">
      <c r="A9" s="10" t="inlineStr">
        <is>
          <t>7) Altre</t>
        </is>
      </c>
      <c r="B9" s="10" t="n"/>
      <c r="C9" s="9" t="n"/>
      <c r="D9" s="9" t="n"/>
      <c r="E9" s="9" t="n"/>
      <c r="F9" s="9" t="n"/>
      <c r="G9" s="9" t="n"/>
    </row>
    <row r="10">
      <c r="A10" s="11" t="inlineStr">
        <is>
          <t>Totale immobilizzazioni immateriali</t>
        </is>
      </c>
      <c r="B10" s="5" t="n"/>
      <c r="C10" s="6" t="n"/>
      <c r="D10" s="6" t="n"/>
      <c r="E10" s="6" t="n"/>
      <c r="F10" s="6" t="n"/>
      <c r="G10" s="6" t="n"/>
    </row>
    <row r="11">
      <c r="A11" s="7" t="inlineStr">
        <is>
          <t>II - Immobilizzazioni materiali</t>
        </is>
      </c>
      <c r="B11" s="8" t="n"/>
      <c r="C11" s="9" t="n"/>
      <c r="D11" s="9" t="n"/>
      <c r="E11" s="9" t="n"/>
      <c r="F11" s="9" t="n"/>
      <c r="G11" s="9" t="n"/>
    </row>
    <row r="12">
      <c r="A12" s="10" t="inlineStr">
        <is>
          <t>1) Terreni e fabbricati</t>
        </is>
      </c>
      <c r="B12" s="10" t="n"/>
      <c r="C12" s="9" t="n"/>
      <c r="D12" s="9" t="n"/>
      <c r="E12" s="9" t="n"/>
      <c r="F12" s="9" t="n"/>
      <c r="G12" s="9" t="n"/>
    </row>
    <row r="13">
      <c r="A13" s="10" t="inlineStr">
        <is>
          <t>2) Impianti e macchinario</t>
        </is>
      </c>
      <c r="B13" s="10" t="n"/>
      <c r="C13" s="9" t="n"/>
      <c r="D13" s="9" t="n"/>
      <c r="E13" s="9" t="n"/>
      <c r="F13" s="9" t="n"/>
      <c r="G13" s="9" t="n"/>
    </row>
    <row r="14">
      <c r="A14" s="10" t="inlineStr">
        <is>
          <t>3) Attrezzature industriali e commerciali</t>
        </is>
      </c>
      <c r="B14" s="10" t="n"/>
      <c r="C14" s="9" t="n"/>
      <c r="D14" s="9" t="n"/>
      <c r="E14" s="9" t="n"/>
      <c r="F14" s="9" t="n"/>
      <c r="G14" s="9" t="n"/>
    </row>
    <row r="15">
      <c r="A15" s="10" t="inlineStr">
        <is>
          <t>4) Altri beni</t>
        </is>
      </c>
      <c r="B15" s="10" t="n"/>
      <c r="C15" s="9" t="n"/>
      <c r="D15" s="9" t="n"/>
      <c r="E15" s="9" t="n"/>
      <c r="F15" s="9" t="n"/>
      <c r="G15" s="9" t="n"/>
    </row>
    <row r="16">
      <c r="A16" s="10" t="inlineStr">
        <is>
          <t>5) Immobilizzazioni in corso e acconti</t>
        </is>
      </c>
      <c r="B16" s="10" t="n"/>
      <c r="C16" s="9" t="n"/>
      <c r="D16" s="9" t="n"/>
      <c r="E16" s="9" t="n"/>
      <c r="F16" s="9" t="n"/>
      <c r="G16" s="9" t="n"/>
    </row>
    <row r="17">
      <c r="A17" s="11" t="inlineStr">
        <is>
          <t>Totale immobilizzazioni materiali</t>
        </is>
      </c>
      <c r="B17" s="5" t="n"/>
      <c r="C17" s="6" t="n"/>
      <c r="D17" s="6" t="n"/>
      <c r="E17" s="6" t="n"/>
      <c r="F17" s="6" t="n"/>
      <c r="G17" s="6" t="n"/>
    </row>
    <row r="18">
      <c r="A18" s="7" t="inlineStr">
        <is>
          <t>III - Immobilizzazioni finanziarie</t>
        </is>
      </c>
      <c r="B18" s="8" t="n"/>
      <c r="C18" s="9" t="n"/>
      <c r="D18" s="9" t="n"/>
      <c r="E18" s="9" t="n"/>
      <c r="F18" s="9" t="n"/>
      <c r="G18" s="9" t="n"/>
    </row>
    <row r="19">
      <c r="A19" s="10" t="inlineStr">
        <is>
          <t>1) Partecipazioni in</t>
        </is>
      </c>
      <c r="B19" s="10" t="n"/>
      <c r="C19" s="9" t="n"/>
      <c r="D19" s="9" t="n"/>
      <c r="E19" s="9" t="n"/>
      <c r="F19" s="9" t="n"/>
      <c r="G19" s="9" t="n"/>
    </row>
    <row r="20">
      <c r="A20" s="12" t="inlineStr">
        <is>
          <t>d-bis) Altre imprese</t>
        </is>
      </c>
      <c r="B20" s="12" t="n"/>
      <c r="C20" s="9" t="n"/>
      <c r="D20" s="9" t="n"/>
      <c r="E20" s="9" t="n"/>
      <c r="F20" s="9" t="n"/>
      <c r="G20" s="9" t="n"/>
    </row>
    <row r="21">
      <c r="A21" s="13" t="inlineStr">
        <is>
          <t>Totale partecipazioni (1)</t>
        </is>
      </c>
      <c r="B21" s="5" t="n"/>
      <c r="C21" s="6" t="n"/>
      <c r="D21" s="6" t="n"/>
      <c r="E21" s="6" t="n"/>
      <c r="F21" s="6" t="n"/>
      <c r="G21" s="6" t="n"/>
    </row>
    <row r="22">
      <c r="A22" s="11" t="inlineStr">
        <is>
          <t>Totale immobilizzazioni finanziarie (III)</t>
        </is>
      </c>
      <c r="B22" s="5" t="n"/>
      <c r="C22" s="6" t="n"/>
      <c r="D22" s="6" t="n"/>
      <c r="E22" s="6" t="n"/>
      <c r="F22" s="6" t="n"/>
      <c r="G22" s="6" t="n"/>
    </row>
    <row r="23">
      <c r="A23" s="5" t="inlineStr">
        <is>
          <t>Totale immobilizzazioni (B)</t>
        </is>
      </c>
      <c r="B23" s="5" t="n"/>
      <c r="C23" s="6" t="n"/>
      <c r="D23" s="6" t="n"/>
      <c r="E23" s="6" t="n"/>
      <c r="F23" s="6" t="n"/>
      <c r="G23" s="6" t="n"/>
    </row>
    <row r="24">
      <c r="A24" s="22" t="inlineStr">
        <is>
          <t>C) ATTIVO CIRCOLANTE</t>
        </is>
      </c>
      <c r="B24" s="3" t="n"/>
      <c r="C24" s="64" t="n"/>
      <c r="D24" s="64" t="n"/>
      <c r="E24" s="64" t="n"/>
      <c r="F24" s="64" t="n"/>
      <c r="G24" s="65" t="n"/>
    </row>
    <row r="25">
      <c r="A25" s="7" t="inlineStr">
        <is>
          <t>I) Rimanenze</t>
        </is>
      </c>
      <c r="B25" s="8" t="n"/>
      <c r="C25" s="9" t="n"/>
      <c r="D25" s="9" t="n"/>
      <c r="E25" s="9" t="n"/>
      <c r="F25" s="9" t="n"/>
      <c r="G25" s="9" t="n"/>
    </row>
    <row r="26">
      <c r="A26" s="10" t="inlineStr">
        <is>
          <t>1) Materie prime, sussidiarie e di consumo</t>
        </is>
      </c>
      <c r="B26" s="10" t="n"/>
      <c r="C26" s="9" t="n"/>
      <c r="D26" s="9" t="n"/>
      <c r="E26" s="9" t="n"/>
      <c r="F26" s="9" t="n"/>
      <c r="G26" s="9" t="n"/>
    </row>
    <row r="27">
      <c r="A27" s="10" t="inlineStr">
        <is>
          <t>2) Prodotti in corso di lavorazione e semilavorati</t>
        </is>
      </c>
      <c r="B27" s="10" t="n"/>
      <c r="C27" s="9" t="n"/>
      <c r="D27" s="9" t="n"/>
      <c r="E27" s="9" t="n"/>
      <c r="F27" s="9" t="n"/>
      <c r="G27" s="9" t="n"/>
    </row>
    <row r="28">
      <c r="A28" s="10" t="inlineStr">
        <is>
          <t>4) Prodotti finiti e merci</t>
        </is>
      </c>
      <c r="B28" s="10" t="n"/>
      <c r="C28" s="9" t="n"/>
      <c r="D28" s="9" t="n"/>
      <c r="E28" s="9" t="n"/>
      <c r="F28" s="9" t="n"/>
      <c r="G28" s="9" t="n"/>
    </row>
    <row r="29">
      <c r="A29" s="11" t="inlineStr">
        <is>
          <t>Totale rimanenze</t>
        </is>
      </c>
      <c r="B29" s="5" t="n"/>
      <c r="C29" s="6" t="n"/>
      <c r="D29" s="6" t="n"/>
      <c r="E29" s="6" t="n"/>
      <c r="F29" s="6" t="n"/>
      <c r="G29" s="6" t="n"/>
    </row>
    <row r="30">
      <c r="A30" s="7" t="inlineStr">
        <is>
          <t>II) Crediti</t>
        </is>
      </c>
      <c r="B30" s="8" t="n"/>
      <c r="C30" s="9" t="n"/>
      <c r="D30" s="9" t="n"/>
      <c r="E30" s="9" t="n"/>
      <c r="F30" s="9" t="n"/>
      <c r="G30" s="9" t="n"/>
    </row>
    <row r="31">
      <c r="A31" s="10" t="inlineStr">
        <is>
          <t>1) Verso clienti</t>
        </is>
      </c>
      <c r="B31" s="10" t="n"/>
      <c r="C31" s="9" t="n"/>
      <c r="D31" s="9" t="n"/>
      <c r="E31" s="9" t="n"/>
      <c r="F31" s="9" t="n"/>
      <c r="G31" s="9" t="n"/>
    </row>
    <row r="32">
      <c r="A32" s="12" t="inlineStr">
        <is>
          <t>Esigibili entro l'esercizio successivo</t>
        </is>
      </c>
      <c r="B32" s="12" t="n"/>
      <c r="C32" s="9" t="n"/>
      <c r="D32" s="9" t="n"/>
      <c r="E32" s="9" t="n"/>
      <c r="F32" s="9" t="n"/>
      <c r="G32" s="9" t="n"/>
    </row>
    <row r="33">
      <c r="A33" s="13" t="inlineStr">
        <is>
          <t>Totale crediti verso clienti</t>
        </is>
      </c>
      <c r="B33" s="5" t="n"/>
      <c r="C33" s="6" t="n"/>
      <c r="D33" s="6" t="n"/>
      <c r="E33" s="6" t="n"/>
      <c r="F33" s="6" t="n"/>
      <c r="G33" s="6" t="n"/>
    </row>
    <row r="34">
      <c r="A34" s="10" t="inlineStr">
        <is>
          <t>5-bis) Crediti tributari</t>
        </is>
      </c>
      <c r="B34" s="10" t="n"/>
      <c r="C34" s="9" t="n"/>
      <c r="D34" s="9" t="n"/>
      <c r="E34" s="9" t="n"/>
      <c r="F34" s="9" t="n"/>
      <c r="G34" s="9" t="n"/>
    </row>
    <row r="35">
      <c r="A35" s="12" t="inlineStr">
        <is>
          <t>Esigibili entro l'esercizio successivo</t>
        </is>
      </c>
      <c r="B35" s="12" t="n"/>
      <c r="C35" s="9" t="n"/>
      <c r="D35" s="9" t="n"/>
      <c r="E35" s="9" t="n"/>
      <c r="F35" s="9" t="n"/>
      <c r="G35" s="9" t="n"/>
    </row>
    <row r="36">
      <c r="A36" s="13" t="inlineStr">
        <is>
          <t>Totale crediti tributari</t>
        </is>
      </c>
      <c r="B36" s="5" t="n"/>
      <c r="C36" s="6" t="n"/>
      <c r="D36" s="6" t="n"/>
      <c r="E36" s="6" t="n"/>
      <c r="F36" s="6" t="n"/>
      <c r="G36" s="6" t="n"/>
    </row>
    <row r="37">
      <c r="A37" s="10" t="inlineStr">
        <is>
          <t>5-ter) Imposte anticipate</t>
        </is>
      </c>
      <c r="B37" s="10" t="n"/>
      <c r="C37" s="9" t="n"/>
      <c r="D37" s="9" t="n"/>
      <c r="E37" s="9" t="n"/>
      <c r="F37" s="9" t="n"/>
      <c r="G37" s="9" t="n"/>
    </row>
    <row r="38">
      <c r="A38" s="10" t="inlineStr">
        <is>
          <t>5-quater) Verso altri</t>
        </is>
      </c>
      <c r="B38" s="10" t="n"/>
      <c r="C38" s="9" t="n"/>
      <c r="D38" s="9" t="n"/>
      <c r="E38" s="9" t="n"/>
      <c r="F38" s="9" t="n"/>
      <c r="G38" s="9" t="n"/>
    </row>
    <row r="39">
      <c r="A39" s="12" t="inlineStr">
        <is>
          <t>Esigibili entro l'esercizio successivo</t>
        </is>
      </c>
      <c r="B39" s="12" t="n"/>
      <c r="C39" s="9" t="n"/>
      <c r="D39" s="9" t="n"/>
      <c r="E39" s="9" t="n"/>
      <c r="F39" s="9" t="n"/>
      <c r="G39" s="9" t="n"/>
    </row>
    <row r="40">
      <c r="A40" s="13" t="inlineStr">
        <is>
          <t>Totale crediti verso altri</t>
        </is>
      </c>
      <c r="B40" s="5" t="n"/>
      <c r="C40" s="6" t="n"/>
      <c r="D40" s="6" t="n"/>
      <c r="E40" s="6" t="n"/>
      <c r="F40" s="6" t="n"/>
      <c r="G40" s="6" t="n"/>
    </row>
    <row r="41">
      <c r="A41" s="11" t="inlineStr">
        <is>
          <t>Totale crediti</t>
        </is>
      </c>
      <c r="B41" s="5" t="n"/>
      <c r="C41" s="6" t="n"/>
      <c r="D41" s="6" t="n"/>
      <c r="E41" s="6" t="n"/>
      <c r="F41" s="6" t="n"/>
      <c r="G41" s="6" t="n"/>
    </row>
    <row r="42">
      <c r="A42" s="7" t="inlineStr">
        <is>
          <t>III - Attività finanziarie che non costituiscono immobilizzazioni</t>
        </is>
      </c>
      <c r="B42" s="8" t="n"/>
      <c r="C42" s="9" t="n"/>
      <c r="D42" s="9" t="n"/>
      <c r="E42" s="9" t="n"/>
      <c r="F42" s="9" t="n"/>
      <c r="G42" s="9" t="n"/>
    </row>
    <row r="43">
      <c r="A43" s="10" t="inlineStr">
        <is>
          <t>6) Altri titoli</t>
        </is>
      </c>
      <c r="B43" s="10" t="n"/>
      <c r="C43" s="9" t="n"/>
      <c r="D43" s="9" t="n"/>
      <c r="E43" s="9" t="n"/>
      <c r="F43" s="9" t="n"/>
      <c r="G43" s="9" t="n"/>
    </row>
    <row r="44">
      <c r="A44" s="11" t="inlineStr">
        <is>
          <t>Totale attività finanziarie che non costituiscono immobilizzazioni</t>
        </is>
      </c>
      <c r="B44" s="5" t="n"/>
      <c r="C44" s="6" t="n"/>
      <c r="D44" s="6" t="n"/>
      <c r="E44" s="6" t="n"/>
      <c r="F44" s="6" t="n"/>
      <c r="G44" s="6" t="n"/>
    </row>
    <row r="45">
      <c r="A45" s="7" t="inlineStr">
        <is>
          <t>IV - Disponibilità liquide</t>
        </is>
      </c>
      <c r="B45" s="8" t="n"/>
      <c r="C45" s="9" t="n"/>
      <c r="D45" s="9" t="n"/>
      <c r="E45" s="9" t="n"/>
      <c r="F45" s="9" t="n"/>
      <c r="G45" s="9" t="n"/>
    </row>
    <row r="46">
      <c r="A46" s="10" t="inlineStr">
        <is>
          <t>1) Depositi bancari e postali</t>
        </is>
      </c>
      <c r="B46" s="10" t="n"/>
      <c r="C46" s="9" t="n"/>
      <c r="D46" s="9" t="n"/>
      <c r="E46" s="9" t="n"/>
      <c r="F46" s="9" t="n">
        <v>5000</v>
      </c>
      <c r="G46" s="9" t="n"/>
    </row>
    <row r="47">
      <c r="A47" s="10" t="inlineStr">
        <is>
          <t>3) Danaro e valori in cassa</t>
        </is>
      </c>
      <c r="B47" s="10" t="n"/>
      <c r="C47" s="9" t="n"/>
      <c r="D47" s="9" t="n"/>
      <c r="E47" s="9" t="n"/>
      <c r="F47" s="9" t="n"/>
      <c r="G47" s="9" t="n"/>
    </row>
    <row r="48">
      <c r="A48" s="11" t="inlineStr">
        <is>
          <t>Totale disponibilità liquide</t>
        </is>
      </c>
      <c r="B48" s="5" t="n"/>
      <c r="C48" s="6" t="n"/>
      <c r="D48" s="6" t="n"/>
      <c r="E48" s="6" t="n"/>
      <c r="F48" s="6" t="n"/>
      <c r="G48" s="6" t="n"/>
    </row>
    <row r="49">
      <c r="A49" s="5" t="inlineStr">
        <is>
          <t>Totale attivo circolante (C)</t>
        </is>
      </c>
      <c r="B49" s="5" t="n"/>
      <c r="C49" s="6" t="n"/>
      <c r="D49" s="6" t="n"/>
      <c r="E49" s="6" t="n"/>
      <c r="F49" s="6" t="n"/>
      <c r="G49" s="6" t="n"/>
    </row>
    <row r="50">
      <c r="A50" s="22" t="inlineStr">
        <is>
          <t>D) RATEI E RISCONTI</t>
        </is>
      </c>
      <c r="B50" s="3" t="n"/>
      <c r="C50" s="64" t="n"/>
      <c r="D50" s="64" t="n"/>
      <c r="E50" s="64" t="n"/>
      <c r="F50" s="64" t="n"/>
      <c r="G50" s="65" t="n"/>
    </row>
    <row r="51">
      <c r="A51" s="14" t="inlineStr">
        <is>
          <t>TOTALE ATTIVO</t>
        </is>
      </c>
      <c r="B51" s="14" t="n"/>
      <c r="C51" s="15" t="n"/>
      <c r="D51" s="15" t="n"/>
      <c r="E51" s="15" t="n"/>
      <c r="F51" s="15" t="n"/>
      <c r="G51" s="15" t="n"/>
    </row>
    <row r="52" ht="16" customHeight="1" thickBot="1"/>
    <row r="53" ht="19" customHeight="1" thickBot="1">
      <c r="A53" s="2" t="inlineStr">
        <is>
          <t>STATO PATRIMONIALE — PASSIVO</t>
        </is>
      </c>
      <c r="B53" s="59" t="n"/>
      <c r="C53" s="59" t="n"/>
      <c r="D53" s="59" t="n"/>
      <c r="E53" s="59" t="n"/>
      <c r="F53" s="59" t="n"/>
      <c r="G53" s="60" t="n"/>
    </row>
    <row r="54" ht="16" customHeight="1">
      <c r="A54" s="23" t="n"/>
      <c r="B54" s="26" t="n">
        <v>2022</v>
      </c>
      <c r="C54" s="26" t="n">
        <v>2023</v>
      </c>
      <c r="D54" s="26" t="n">
        <v>2024</v>
      </c>
      <c r="E54" s="26" t="n">
        <v>2025</v>
      </c>
      <c r="F54" s="26" t="n">
        <v>2026</v>
      </c>
      <c r="G54" s="26" t="n">
        <v>2027</v>
      </c>
    </row>
    <row r="55">
      <c r="A55" s="22" t="inlineStr">
        <is>
          <t>A) PATRIMONIO NETTO</t>
        </is>
      </c>
      <c r="B55" s="61" t="n"/>
      <c r="C55" s="62" t="n"/>
      <c r="D55" s="62" t="n"/>
      <c r="E55" s="62" t="n"/>
      <c r="F55" s="62" t="n"/>
      <c r="G55" s="63" t="n"/>
    </row>
    <row r="56">
      <c r="A56" s="8" t="inlineStr">
        <is>
          <t>I - Capitale</t>
        </is>
      </c>
      <c r="B56" s="8" t="n"/>
      <c r="C56" s="9" t="n"/>
      <c r="D56" s="9" t="n"/>
      <c r="E56" s="9" t="n"/>
      <c r="F56" s="9" t="n"/>
      <c r="G56" s="9" t="n"/>
    </row>
    <row r="57">
      <c r="A57" s="8" t="inlineStr">
        <is>
          <t>II - Riserva da soprapprezzo delle azioni</t>
        </is>
      </c>
      <c r="B57" s="8" t="n"/>
      <c r="C57" s="9" t="n"/>
      <c r="D57" s="9" t="n"/>
      <c r="E57" s="9" t="n"/>
      <c r="F57" s="9" t="n"/>
      <c r="G57" s="9" t="n"/>
    </row>
    <row r="58">
      <c r="A58" s="8" t="inlineStr">
        <is>
          <t>III - Riserve di rivalutazione</t>
        </is>
      </c>
      <c r="B58" s="8" t="n"/>
      <c r="C58" s="9" t="n"/>
      <c r="D58" s="9" t="n"/>
      <c r="E58" s="9" t="n"/>
      <c r="F58" s="9" t="n"/>
      <c r="G58" s="9" t="n"/>
    </row>
    <row r="59">
      <c r="A59" s="8" t="inlineStr">
        <is>
          <t>IV - Riserva legale</t>
        </is>
      </c>
      <c r="B59" s="8" t="n"/>
      <c r="C59" s="9" t="n"/>
      <c r="D59" s="9" t="n"/>
      <c r="E59" s="9" t="n"/>
      <c r="F59" s="9" t="n"/>
      <c r="G59" s="9" t="n"/>
    </row>
    <row r="60">
      <c r="A60" s="8" t="inlineStr">
        <is>
          <t>V - Riserve statutarie</t>
        </is>
      </c>
      <c r="B60" s="8" t="n"/>
      <c r="C60" s="9" t="n"/>
      <c r="D60" s="9" t="n"/>
      <c r="E60" s="9" t="n"/>
      <c r="F60" s="9" t="n"/>
      <c r="G60" s="9" t="n"/>
    </row>
    <row r="61">
      <c r="A61" s="7" t="inlineStr">
        <is>
          <t>VI - Altre riserve, distintamente indicate</t>
        </is>
      </c>
      <c r="B61" s="8" t="n"/>
      <c r="C61" s="9" t="n"/>
      <c r="D61" s="9" t="n"/>
      <c r="E61" s="9" t="n"/>
      <c r="F61" s="9" t="n"/>
      <c r="G61" s="9" t="n"/>
    </row>
    <row r="62">
      <c r="A62" s="10" t="inlineStr">
        <is>
          <t>Riserva straordinaria</t>
        </is>
      </c>
      <c r="B62" s="10" t="n"/>
      <c r="C62" s="9" t="n"/>
      <c r="D62" s="9" t="n"/>
      <c r="E62" s="9" t="n"/>
      <c r="F62" s="9" t="n"/>
      <c r="G62" s="9" t="n"/>
    </row>
    <row r="63">
      <c r="A63" s="10" t="inlineStr">
        <is>
          <t>Riserva per utili su cambi non realizzati</t>
        </is>
      </c>
      <c r="B63" s="10" t="n"/>
      <c r="C63" s="9" t="n"/>
      <c r="D63" s="9" t="n"/>
      <c r="E63" s="9" t="n"/>
      <c r="F63" s="9" t="n"/>
      <c r="G63" s="9" t="n"/>
    </row>
    <row r="64">
      <c r="A64" s="10" t="inlineStr">
        <is>
          <t>Varie altre riserve</t>
        </is>
      </c>
      <c r="B64" s="10" t="n"/>
      <c r="C64" s="9" t="n"/>
      <c r="D64" s="9" t="n"/>
      <c r="E64" s="9" t="n"/>
      <c r="F64" s="9" t="n"/>
      <c r="G64" s="9" t="n"/>
    </row>
    <row r="65">
      <c r="A65" s="11" t="inlineStr">
        <is>
          <t>Totale altre riserve</t>
        </is>
      </c>
      <c r="B65" s="5" t="n"/>
      <c r="C65" s="6" t="n"/>
      <c r="D65" s="6" t="n"/>
      <c r="E65" s="6" t="n"/>
      <c r="F65" s="6" t="n"/>
      <c r="G65" s="6" t="n"/>
    </row>
    <row r="66">
      <c r="A66" s="8" t="inlineStr">
        <is>
          <t>VII - Riserva per operazioni di copertura dei flussi finanziari attesi</t>
        </is>
      </c>
      <c r="B66" s="8" t="n"/>
      <c r="C66" s="9" t="n"/>
      <c r="D66" s="9" t="n"/>
      <c r="E66" s="9" t="n"/>
      <c r="F66" s="9" t="n"/>
      <c r="G66" s="9" t="n"/>
    </row>
    <row r="67">
      <c r="A67" s="8" t="inlineStr">
        <is>
          <t>VIII - Utili (perdite) portati a nuovo</t>
        </is>
      </c>
      <c r="B67" s="8" t="n"/>
      <c r="C67" s="9" t="n"/>
      <c r="D67" s="9" t="n"/>
      <c r="E67" s="9" t="n"/>
      <c r="F67" s="9" t="n"/>
      <c r="G67" s="9" t="n"/>
    </row>
    <row r="68">
      <c r="A68" s="8" t="inlineStr">
        <is>
          <t>IX - Utile (perdita) dell'esercizio</t>
        </is>
      </c>
      <c r="B68" s="8" t="n"/>
      <c r="C68" s="9" t="n"/>
      <c r="D68" s="9" t="n"/>
      <c r="E68" s="9" t="n"/>
      <c r="F68" s="9" t="n"/>
      <c r="G68" s="9" t="n"/>
    </row>
    <row r="69">
      <c r="A69" s="8" t="inlineStr">
        <is>
          <t>Perdita ripianata nell'esercizio</t>
        </is>
      </c>
      <c r="B69" s="8" t="n"/>
      <c r="C69" s="9" t="n"/>
      <c r="D69" s="9" t="n"/>
      <c r="E69" s="9" t="n"/>
      <c r="F69" s="9" t="n"/>
      <c r="G69" s="9" t="n"/>
    </row>
    <row r="70">
      <c r="A70" s="8" t="inlineStr">
        <is>
          <t>X - Riserva negativa per azioni proprie in portafoglio</t>
        </is>
      </c>
      <c r="B70" s="8" t="n"/>
      <c r="C70" s="9" t="n"/>
      <c r="D70" s="9" t="n"/>
      <c r="E70" s="9" t="n"/>
      <c r="F70" s="9" t="n"/>
      <c r="G70" s="9" t="n"/>
    </row>
    <row r="71">
      <c r="A71" s="5" t="inlineStr">
        <is>
          <t>Totale patrimonio netto</t>
        </is>
      </c>
      <c r="B71" s="5" t="n"/>
      <c r="C71" s="6" t="n"/>
      <c r="D71" s="6" t="n"/>
      <c r="E71" s="6" t="n"/>
      <c r="F71" s="6" t="n"/>
      <c r="G71" s="6" t="n"/>
    </row>
    <row r="72">
      <c r="A72" s="22" t="inlineStr">
        <is>
          <t>B) FONDI PER RISCHI E ONERI</t>
        </is>
      </c>
      <c r="B72" s="3" t="n"/>
      <c r="C72" s="64" t="n"/>
      <c r="D72" s="64" t="n"/>
      <c r="E72" s="64" t="n"/>
      <c r="F72" s="64" t="n"/>
      <c r="G72" s="65" t="n"/>
    </row>
    <row r="73">
      <c r="A73" s="8" t="inlineStr">
        <is>
          <t>1) Per trattamento di quiescenza e obblighi simili</t>
        </is>
      </c>
      <c r="B73" s="8" t="n"/>
      <c r="C73" s="9" t="n"/>
      <c r="D73" s="9" t="n"/>
      <c r="E73" s="9" t="n"/>
      <c r="F73" s="9" t="n"/>
      <c r="G73" s="9" t="n"/>
    </row>
    <row r="74">
      <c r="A74" s="8" t="inlineStr">
        <is>
          <t>2) Per imposte, anche differite</t>
        </is>
      </c>
      <c r="B74" s="8" t="n"/>
      <c r="C74" s="9" t="n"/>
      <c r="D74" s="9" t="n"/>
      <c r="E74" s="9" t="n"/>
      <c r="F74" s="9" t="n"/>
      <c r="G74" s="9" t="n"/>
    </row>
    <row r="75">
      <c r="A75" s="8" t="inlineStr">
        <is>
          <t>3) Strumenti finanziari derivati passivi</t>
        </is>
      </c>
      <c r="B75" s="8" t="n"/>
      <c r="C75" s="9" t="n"/>
      <c r="D75" s="9" t="n"/>
      <c r="E75" s="9" t="n"/>
      <c r="F75" s="9" t="n"/>
      <c r="G75" s="9" t="n"/>
    </row>
    <row r="76">
      <c r="A76" s="8" t="inlineStr">
        <is>
          <t>4) Altri</t>
        </is>
      </c>
      <c r="B76" s="8" t="n"/>
      <c r="C76" s="9" t="n"/>
      <c r="D76" s="9" t="n"/>
      <c r="E76" s="9" t="n"/>
      <c r="F76" s="9" t="n"/>
      <c r="G76" s="9" t="n"/>
    </row>
    <row r="77">
      <c r="A77" s="5" t="inlineStr">
        <is>
          <t>Totale fondi per rischi e oneri (B)</t>
        </is>
      </c>
      <c r="B77" s="5" t="n"/>
      <c r="C77" s="6" t="n"/>
      <c r="D77" s="6" t="n"/>
      <c r="E77" s="6" t="n"/>
      <c r="F77" s="6" t="n"/>
      <c r="G77" s="6" t="n"/>
    </row>
    <row r="78">
      <c r="A78" s="22" t="inlineStr">
        <is>
          <t>C) TRATTAMENTO DI FINE RAPPORTO DI LAVORO SUBORDINATO</t>
        </is>
      </c>
      <c r="B78" s="3" t="n"/>
      <c r="C78" s="64" t="n"/>
      <c r="D78" s="64" t="n"/>
      <c r="E78" s="64" t="n"/>
      <c r="F78" s="64" t="n"/>
      <c r="G78" s="65" t="n"/>
    </row>
    <row r="79">
      <c r="A79" s="22" t="inlineStr">
        <is>
          <t>D) DEBITI</t>
        </is>
      </c>
      <c r="B79" s="3" t="n"/>
      <c r="C79" s="64" t="n"/>
      <c r="D79" s="64" t="n"/>
      <c r="E79" s="64" t="n"/>
      <c r="F79" s="64" t="n"/>
      <c r="G79" s="65" t="n"/>
    </row>
    <row r="80">
      <c r="A80" s="8" t="inlineStr">
        <is>
          <t>3) Debiti verso soci per finanziamenti</t>
        </is>
      </c>
      <c r="B80" s="8" t="n"/>
      <c r="C80" s="9" t="n"/>
      <c r="D80" s="9" t="n"/>
      <c r="E80" s="9" t="n"/>
      <c r="F80" s="9" t="n"/>
      <c r="G80" s="9" t="n"/>
    </row>
    <row r="81">
      <c r="A81" s="10" t="inlineStr">
        <is>
          <t>Esigibili entro l'esercizio successivo</t>
        </is>
      </c>
      <c r="B81" s="10" t="n"/>
      <c r="C81" s="9" t="n"/>
      <c r="D81" s="9" t="n"/>
      <c r="E81" s="9" t="n"/>
      <c r="F81" s="9" t="n"/>
      <c r="G81" s="9" t="n"/>
    </row>
    <row r="82">
      <c r="A82" s="11" t="inlineStr">
        <is>
          <t>Totale debiti verso soci per finanziamenti (3)</t>
        </is>
      </c>
      <c r="B82" s="5" t="n"/>
      <c r="C82" s="6" t="n"/>
      <c r="D82" s="6" t="n"/>
      <c r="E82" s="6" t="n"/>
      <c r="F82" s="6" t="n"/>
      <c r="G82" s="6" t="n"/>
    </row>
    <row r="83">
      <c r="A83" s="8" t="inlineStr">
        <is>
          <t>4) Debiti verso banche</t>
        </is>
      </c>
      <c r="B83" s="8" t="n"/>
      <c r="C83" s="9" t="n"/>
      <c r="D83" s="9" t="n"/>
      <c r="E83" s="9" t="n"/>
      <c r="F83" s="9" t="n"/>
      <c r="G83" s="9" t="n"/>
    </row>
    <row r="84">
      <c r="A84" s="10" t="inlineStr">
        <is>
          <t>Esigibili entro l'esercizio successivo</t>
        </is>
      </c>
      <c r="B84" s="10" t="n"/>
      <c r="C84" s="9" t="n"/>
      <c r="D84" s="9" t="n"/>
      <c r="E84" s="9" t="n"/>
      <c r="F84" s="9" t="n"/>
      <c r="G84" s="9" t="n"/>
    </row>
    <row r="85">
      <c r="A85" s="10" t="inlineStr">
        <is>
          <t>Esigibili oltre l'esercizio successivo</t>
        </is>
      </c>
      <c r="B85" s="10" t="n"/>
      <c r="C85" s="9" t="n"/>
      <c r="D85" s="9" t="n"/>
      <c r="E85" s="9" t="n"/>
      <c r="F85" s="9" t="n"/>
      <c r="G85" s="9" t="n"/>
    </row>
    <row r="86">
      <c r="A86" s="11" t="inlineStr">
        <is>
          <t>Totale debiti verso banche (4)</t>
        </is>
      </c>
      <c r="B86" s="5" t="n"/>
      <c r="C86" s="6" t="n"/>
      <c r="D86" s="6" t="n"/>
      <c r="E86" s="6" t="n"/>
      <c r="F86" s="6" t="n"/>
      <c r="G86" s="6" t="n"/>
    </row>
    <row r="87">
      <c r="A87" s="8" t="inlineStr">
        <is>
          <t>7) Debiti verso fornitori</t>
        </is>
      </c>
      <c r="B87" s="8" t="n"/>
      <c r="C87" s="9" t="n"/>
      <c r="D87" s="9" t="n"/>
      <c r="E87" s="9" t="n"/>
      <c r="F87" s="9" t="n"/>
      <c r="G87" s="9" t="n"/>
    </row>
    <row r="88">
      <c r="A88" s="10" t="inlineStr">
        <is>
          <t>Esigibili entro l'esercizio successivo</t>
        </is>
      </c>
      <c r="B88" s="10" t="n"/>
      <c r="C88" s="9" t="n"/>
      <c r="D88" s="9" t="n"/>
      <c r="E88" s="9" t="n"/>
      <c r="F88" s="9" t="n">
        <v>12000</v>
      </c>
      <c r="G88" s="9" t="n"/>
    </row>
    <row r="89">
      <c r="A89" s="11" t="inlineStr">
        <is>
          <t>Totale debiti verso fornitori (7)</t>
        </is>
      </c>
      <c r="B89" s="5" t="n"/>
      <c r="C89" s="6" t="n"/>
      <c r="D89" s="6" t="n"/>
      <c r="E89" s="6" t="n"/>
      <c r="F89" s="6" t="n"/>
      <c r="G89" s="6" t="n"/>
    </row>
    <row r="90">
      <c r="A90" s="8" t="inlineStr">
        <is>
          <t>12) Debiti tributari</t>
        </is>
      </c>
      <c r="B90" s="8" t="n"/>
      <c r="C90" s="9" t="n"/>
      <c r="D90" s="9" t="n"/>
      <c r="E90" s="9" t="n"/>
      <c r="F90" s="9" t="n"/>
      <c r="G90" s="9" t="n"/>
    </row>
    <row r="91">
      <c r="A91" s="10" t="inlineStr">
        <is>
          <t>Esigibili entro l'esercizio successivo</t>
        </is>
      </c>
      <c r="B91" s="10" t="n"/>
      <c r="C91" s="9" t="n"/>
      <c r="D91" s="9" t="n"/>
      <c r="E91" s="9" t="n"/>
      <c r="F91" s="9" t="n"/>
      <c r="G91" s="9" t="n"/>
    </row>
    <row r="92">
      <c r="A92" s="11" t="inlineStr">
        <is>
          <t>Totale debiti tributari (12)</t>
        </is>
      </c>
      <c r="B92" s="5" t="n"/>
      <c r="C92" s="6" t="n"/>
      <c r="D92" s="6" t="n"/>
      <c r="E92" s="6" t="n"/>
      <c r="F92" s="6" t="n"/>
      <c r="G92" s="6" t="n"/>
    </row>
    <row r="93">
      <c r="A93" s="8" t="inlineStr">
        <is>
          <t>13) Debiti verso istituti di previdenza e di sicurezza sociale</t>
        </is>
      </c>
      <c r="B93" s="8" t="n"/>
      <c r="C93" s="9" t="n"/>
      <c r="D93" s="9" t="n"/>
      <c r="E93" s="9" t="n"/>
      <c r="F93" s="9" t="n"/>
      <c r="G93" s="9" t="n"/>
    </row>
    <row r="94">
      <c r="A94" s="10" t="inlineStr">
        <is>
          <t>Esigibili entro l'esercizio successivo</t>
        </is>
      </c>
      <c r="B94" s="10" t="n"/>
      <c r="C94" s="9" t="n"/>
      <c r="D94" s="9" t="n"/>
      <c r="E94" s="9" t="n"/>
      <c r="F94" s="9" t="n"/>
      <c r="G94" s="9" t="n"/>
    </row>
    <row r="95">
      <c r="A95" s="11" t="inlineStr">
        <is>
          <t>Totale debiti verso istituti di previdenza e di sicurezza sociale (13)</t>
        </is>
      </c>
      <c r="B95" s="5" t="n"/>
      <c r="C95" s="6" t="n"/>
      <c r="D95" s="6" t="n"/>
      <c r="E95" s="6" t="n"/>
      <c r="F95" s="6" t="n"/>
      <c r="G95" s="6" t="n"/>
    </row>
    <row r="96">
      <c r="A96" s="8" t="inlineStr">
        <is>
          <t>14) Altri debiti</t>
        </is>
      </c>
      <c r="B96" s="8" t="n"/>
      <c r="C96" s="9" t="n"/>
      <c r="D96" s="9" t="n"/>
      <c r="E96" s="9" t="n"/>
      <c r="F96" s="9" t="n"/>
      <c r="G96" s="9" t="n"/>
    </row>
    <row r="97">
      <c r="A97" s="10" t="inlineStr">
        <is>
          <t>Esigibili entro l'esercizio successivo</t>
        </is>
      </c>
      <c r="B97" s="10" t="n"/>
      <c r="C97" s="9" t="n"/>
      <c r="D97" s="9" t="n"/>
      <c r="E97" s="9" t="n"/>
      <c r="F97" s="9" t="n"/>
      <c r="G97" s="9" t="n"/>
    </row>
    <row r="98">
      <c r="A98" s="11" t="inlineStr">
        <is>
          <t>Totale altri debiti (14)</t>
        </is>
      </c>
      <c r="B98" s="5" t="n"/>
      <c r="C98" s="6" t="n"/>
      <c r="D98" s="6" t="n"/>
      <c r="E98" s="6" t="n"/>
      <c r="F98" s="6" t="n"/>
      <c r="G98" s="6" t="n"/>
    </row>
    <row r="99">
      <c r="A99" s="5" t="inlineStr">
        <is>
          <t>Totale debiti (D)</t>
        </is>
      </c>
      <c r="B99" s="5" t="n"/>
      <c r="C99" s="6" t="n"/>
      <c r="D99" s="6" t="n"/>
      <c r="E99" s="6" t="n"/>
      <c r="F99" s="6" t="n"/>
      <c r="G99" s="6" t="n"/>
    </row>
    <row r="100">
      <c r="A100" s="22" t="inlineStr">
        <is>
          <t>E) RATEI E RISCONTI</t>
        </is>
      </c>
      <c r="B100" s="3" t="n"/>
      <c r="C100" s="64" t="n"/>
      <c r="D100" s="64" t="n"/>
      <c r="E100" s="64" t="n"/>
      <c r="F100" s="64" t="n"/>
      <c r="G100" s="65" t="n"/>
    </row>
    <row r="101">
      <c r="A101" s="14" t="inlineStr">
        <is>
          <t>TOTALE PASSIVO</t>
        </is>
      </c>
      <c r="B101" s="14" t="n"/>
      <c r="C101" s="15" t="n"/>
      <c r="D101" s="15" t="n"/>
      <c r="E101" s="15" t="n"/>
      <c r="F101" s="15" t="n"/>
      <c r="G101" s="15" t="n"/>
    </row>
  </sheetData>
  <mergeCells count="11">
    <mergeCell ref="B3:G3"/>
    <mergeCell ref="B24:G24"/>
    <mergeCell ref="A1:G1"/>
    <mergeCell ref="B5:G5"/>
    <mergeCell ref="A53:G53"/>
    <mergeCell ref="B79:G79"/>
    <mergeCell ref="B55:G55"/>
    <mergeCell ref="B50:G50"/>
    <mergeCell ref="B100:G100"/>
    <mergeCell ref="B78:G78"/>
    <mergeCell ref="B72:G7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zoomScale="85" zoomScaleNormal="100" workbookViewId="0">
      <pane ySplit="2" topLeftCell="A3" activePane="bottomLeft" state="frozen"/>
      <selection pane="bottomLeft" activeCell="B2" sqref="B2:F2"/>
    </sheetView>
  </sheetViews>
  <sheetFormatPr baseColWidth="10" defaultColWidth="8.6640625" defaultRowHeight="15"/>
  <cols>
    <col width="65" customWidth="1" min="1" max="1"/>
    <col width="16" customWidth="1" min="2" max="7"/>
  </cols>
  <sheetData>
    <row r="1" ht="19" customHeight="1" thickBot="1">
      <c r="A1" s="2" t="inlineStr">
        <is>
          <t>CONTO ECONOMICO</t>
        </is>
      </c>
      <c r="B1" s="59" t="n"/>
      <c r="C1" s="59" t="n"/>
      <c r="D1" s="59" t="n"/>
      <c r="E1" s="59" t="n"/>
      <c r="F1" s="59" t="n"/>
      <c r="G1" s="60" t="n"/>
    </row>
    <row r="2" ht="16" customHeight="1">
      <c r="A2" s="21" t="inlineStr">
        <is>
          <t>VOCE</t>
        </is>
      </c>
      <c r="B2" s="54" t="n">
        <v>2022</v>
      </c>
      <c r="C2" s="54" t="n">
        <v>2023</v>
      </c>
      <c r="D2" s="54" t="n">
        <v>2024</v>
      </c>
      <c r="E2" s="54" t="n">
        <v>2025</v>
      </c>
      <c r="F2" s="54" t="n">
        <v>2026</v>
      </c>
      <c r="G2" s="54" t="n">
        <v>2027</v>
      </c>
    </row>
    <row r="3">
      <c r="A3" s="22" t="inlineStr">
        <is>
          <t>A) VALORE DELLA PRODUZIONE</t>
        </is>
      </c>
      <c r="B3" s="22" t="n"/>
      <c r="C3" s="4" t="n"/>
      <c r="D3" s="4" t="n"/>
      <c r="E3" s="4" t="n"/>
      <c r="F3" s="4" t="n"/>
      <c r="G3" s="4" t="n"/>
    </row>
    <row r="4">
      <c r="A4" s="8" t="inlineStr">
        <is>
          <t>1) Ricavi delle vendite e delle prestazioni</t>
        </is>
      </c>
      <c r="B4" s="8" t="n"/>
      <c r="C4" s="9" t="n"/>
      <c r="D4" s="9" t="n"/>
      <c r="E4" s="9" t="n"/>
      <c r="F4" s="9" t="n">
        <v>50000</v>
      </c>
      <c r="G4" s="9" t="n"/>
    </row>
    <row r="5">
      <c r="A5" s="8" t="inlineStr">
        <is>
          <t>2) Variazione delle rimanenze di prodotti in corso di lavorazione, semilavorati e finiti</t>
        </is>
      </c>
      <c r="B5" s="8" t="n"/>
      <c r="C5" s="9" t="n"/>
      <c r="D5" s="9" t="n"/>
      <c r="E5" s="9" t="n"/>
      <c r="F5" s="9" t="n"/>
      <c r="G5" s="9" t="n"/>
    </row>
    <row r="6">
      <c r="A6" s="7" t="inlineStr">
        <is>
          <t>5) Altri ricavi e proventi</t>
        </is>
      </c>
      <c r="B6" s="8" t="n"/>
      <c r="C6" s="9" t="n"/>
      <c r="D6" s="9" t="n"/>
      <c r="E6" s="9" t="n"/>
      <c r="F6" s="9" t="n"/>
      <c r="G6" s="9" t="n"/>
    </row>
    <row r="7">
      <c r="A7" s="10" t="inlineStr">
        <is>
          <t>Contributi in conto esercizio</t>
        </is>
      </c>
      <c r="B7" s="10" t="n"/>
      <c r="C7" s="9" t="n"/>
      <c r="D7" s="9" t="n"/>
      <c r="E7" s="9" t="n"/>
      <c r="F7" s="9" t="n"/>
      <c r="G7" s="9" t="n"/>
    </row>
    <row r="8">
      <c r="A8" s="10" t="inlineStr">
        <is>
          <t>Altri</t>
        </is>
      </c>
      <c r="B8" s="10" t="n"/>
      <c r="C8" s="9" t="n"/>
      <c r="D8" s="9" t="n"/>
      <c r="E8" s="9" t="n"/>
      <c r="F8" s="9" t="n"/>
      <c r="G8" s="9" t="n"/>
    </row>
    <row r="9">
      <c r="A9" s="11" t="inlineStr">
        <is>
          <t>Totale altri ricavi e proventi</t>
        </is>
      </c>
      <c r="B9" s="5" t="n"/>
      <c r="C9" s="6" t="n"/>
      <c r="D9" s="6" t="n"/>
      <c r="E9" s="6" t="n"/>
      <c r="F9" s="6" t="n"/>
      <c r="G9" s="6" t="n"/>
    </row>
    <row r="10">
      <c r="A10" s="5" t="inlineStr">
        <is>
          <t>Totale valore della produzione (A)</t>
        </is>
      </c>
      <c r="B10" s="5" t="n"/>
      <c r="C10" s="6" t="n"/>
      <c r="D10" s="6" t="n"/>
      <c r="E10" s="6" t="n"/>
      <c r="F10" s="6" t="n"/>
      <c r="G10" s="6" t="n"/>
    </row>
    <row r="11">
      <c r="A11" s="1" t="inlineStr">
        <is>
          <t>B) COSTI DELLA PRODUZIONE</t>
        </is>
      </c>
      <c r="B11" s="64" t="n"/>
      <c r="C11" s="4" t="n"/>
      <c r="D11" s="4" t="n"/>
      <c r="E11" s="4" t="n"/>
      <c r="F11" s="4" t="n"/>
      <c r="G11" s="4" t="n"/>
    </row>
    <row r="12">
      <c r="A12" s="8" t="inlineStr">
        <is>
          <t>6) Per materie prime, sussidiarie, di consumo e merci</t>
        </is>
      </c>
      <c r="B12" s="8" t="n"/>
      <c r="C12" s="9" t="n"/>
      <c r="D12" s="9" t="n"/>
      <c r="E12" s="9" t="n"/>
      <c r="F12" s="9" t="n">
        <v>10000</v>
      </c>
      <c r="G12" s="9" t="n"/>
    </row>
    <row r="13">
      <c r="A13" s="8" t="inlineStr">
        <is>
          <t>7) Per servizi</t>
        </is>
      </c>
      <c r="B13" s="8" t="n"/>
      <c r="C13" s="9" t="n"/>
      <c r="D13" s="9" t="n"/>
      <c r="E13" s="9" t="n"/>
      <c r="F13" s="9" t="n">
        <v>8000</v>
      </c>
      <c r="G13" s="9" t="n"/>
    </row>
    <row r="14">
      <c r="A14" s="8" t="inlineStr">
        <is>
          <t>8) Per godimento di beni di terzi</t>
        </is>
      </c>
      <c r="B14" s="8" t="n"/>
      <c r="C14" s="9" t="n"/>
      <c r="D14" s="9" t="n"/>
      <c r="E14" s="9" t="n"/>
      <c r="F14" s="9" t="n"/>
      <c r="G14" s="9" t="n"/>
    </row>
    <row r="15">
      <c r="A15" s="7" t="inlineStr">
        <is>
          <t>9) Per il personale:</t>
        </is>
      </c>
      <c r="B15" s="8" t="n"/>
      <c r="C15" s="9" t="n"/>
      <c r="D15" s="9" t="n"/>
      <c r="E15" s="9" t="n"/>
      <c r="F15" s="9" t="n"/>
      <c r="G15" s="9" t="n"/>
    </row>
    <row r="16">
      <c r="A16" s="10" t="inlineStr">
        <is>
          <t>a) Salari e stipendi</t>
        </is>
      </c>
      <c r="B16" s="10" t="n"/>
      <c r="C16" s="9" t="n"/>
      <c r="D16" s="9" t="n"/>
      <c r="E16" s="9" t="n"/>
      <c r="F16" s="9" t="n"/>
      <c r="G16" s="9" t="n"/>
    </row>
    <row r="17">
      <c r="A17" s="10" t="inlineStr">
        <is>
          <t>b) Oneri sociali</t>
        </is>
      </c>
      <c r="B17" s="10" t="n"/>
      <c r="C17" s="9" t="n"/>
      <c r="D17" s="9" t="n"/>
      <c r="E17" s="9" t="n"/>
      <c r="F17" s="9" t="n"/>
      <c r="G17" s="9" t="n"/>
    </row>
    <row r="18">
      <c r="A18" s="10" t="inlineStr">
        <is>
          <t>c) Trattamento di fine rapporto</t>
        </is>
      </c>
      <c r="B18" s="10" t="n"/>
      <c r="C18" s="9" t="n"/>
      <c r="D18" s="9" t="n"/>
      <c r="E18" s="9" t="n"/>
      <c r="F18" s="9" t="n"/>
      <c r="G18" s="9" t="n"/>
    </row>
    <row r="19">
      <c r="A19" s="10" t="inlineStr">
        <is>
          <t>e) Altri costi</t>
        </is>
      </c>
      <c r="B19" s="10" t="n"/>
      <c r="C19" s="9" t="n"/>
      <c r="D19" s="9" t="n"/>
      <c r="E19" s="9" t="n"/>
      <c r="F19" s="9" t="n"/>
      <c r="G19" s="9" t="n"/>
    </row>
    <row r="20">
      <c r="A20" s="11" t="inlineStr">
        <is>
          <t>Totale costi per il personale</t>
        </is>
      </c>
      <c r="B20" s="5" t="n"/>
      <c r="C20" s="6" t="n"/>
      <c r="D20" s="6" t="n"/>
      <c r="E20" s="6" t="n"/>
      <c r="F20" s="6" t="n"/>
      <c r="G20" s="6" t="n"/>
    </row>
    <row r="21">
      <c r="A21" s="7" t="inlineStr">
        <is>
          <t>10) Ammortamenti e svalutazioni:</t>
        </is>
      </c>
      <c r="B21" s="8" t="n"/>
      <c r="C21" s="9" t="n"/>
      <c r="D21" s="9" t="n"/>
      <c r="E21" s="9" t="n"/>
      <c r="F21" s="9" t="n"/>
      <c r="G21" s="9" t="n"/>
    </row>
    <row r="22">
      <c r="A22" s="10" t="inlineStr">
        <is>
          <t>a) Ammortamento delle immobilizzazioni immateriali</t>
        </is>
      </c>
      <c r="B22" s="10" t="n"/>
      <c r="C22" s="9" t="n"/>
      <c r="D22" s="9" t="n"/>
      <c r="E22" s="9" t="n"/>
      <c r="F22" s="9" t="n"/>
      <c r="G22" s="9" t="n"/>
    </row>
    <row r="23">
      <c r="A23" s="10" t="inlineStr">
        <is>
          <t>b) Ammortamento delle immobilizzazioni materiali</t>
        </is>
      </c>
      <c r="B23" s="10" t="n"/>
      <c r="C23" s="9" t="n"/>
      <c r="D23" s="9" t="n"/>
      <c r="E23" s="9" t="n"/>
      <c r="F23" s="9" t="n"/>
      <c r="G23" s="9" t="n"/>
    </row>
    <row r="24">
      <c r="A24" s="10" t="inlineStr">
        <is>
          <t>d) Svalutazione crediti attivo circolante e disponibilità liquide</t>
        </is>
      </c>
      <c r="B24" s="10" t="n"/>
      <c r="C24" s="9" t="n"/>
      <c r="D24" s="9" t="n"/>
      <c r="E24" s="9" t="n"/>
      <c r="F24" s="9" t="n"/>
      <c r="G24" s="9" t="n"/>
    </row>
    <row r="25">
      <c r="A25" s="11" t="inlineStr">
        <is>
          <t>Totale ammortamenti e svalutazioni</t>
        </is>
      </c>
      <c r="B25" s="5" t="n"/>
      <c r="C25" s="6" t="n"/>
      <c r="D25" s="6" t="n"/>
      <c r="E25" s="6" t="n"/>
      <c r="F25" s="6" t="n"/>
      <c r="G25" s="6" t="n"/>
    </row>
    <row r="26">
      <c r="A26" s="8" t="inlineStr">
        <is>
          <t>11) Variazione delle rimanenze di materie prime, sussidiarie, di consumo e merci</t>
        </is>
      </c>
      <c r="B26" s="8" t="n"/>
      <c r="C26" s="9" t="n"/>
      <c r="D26" s="9" t="n"/>
      <c r="E26" s="9" t="n"/>
      <c r="F26" s="9" t="n"/>
      <c r="G26" s="9" t="n"/>
    </row>
    <row r="27">
      <c r="A27" s="8" t="inlineStr">
        <is>
          <t>13) Altri accantonamenti</t>
        </is>
      </c>
      <c r="B27" s="8" t="n"/>
      <c r="C27" s="9" t="n"/>
      <c r="D27" s="9" t="n"/>
      <c r="E27" s="9" t="n"/>
      <c r="F27" s="9" t="n"/>
      <c r="G27" s="9" t="n"/>
    </row>
    <row r="28">
      <c r="A28" s="8" t="inlineStr">
        <is>
          <t>14) Oneri diversi di gestione</t>
        </is>
      </c>
      <c r="B28" s="8" t="n"/>
      <c r="C28" s="9" t="n"/>
      <c r="D28" s="9" t="n"/>
      <c r="E28" s="9" t="n"/>
      <c r="F28" s="9" t="n"/>
      <c r="G28" s="9" t="n"/>
    </row>
    <row r="29">
      <c r="A29" s="5" t="inlineStr">
        <is>
          <t>Totale costi della produzione (B)</t>
        </is>
      </c>
      <c r="B29" s="5" t="n"/>
      <c r="C29" s="6" t="n"/>
      <c r="D29" s="6" t="n"/>
      <c r="E29" s="6" t="n"/>
      <c r="F29" s="6" t="n"/>
      <c r="G29" s="6" t="n"/>
    </row>
    <row r="30">
      <c r="A30" s="14" t="inlineStr">
        <is>
          <t>Differenza tra valore e costi della produzione (A-B)</t>
        </is>
      </c>
      <c r="B30" s="14" t="n"/>
      <c r="C30" s="15" t="n"/>
      <c r="D30" s="15" t="n"/>
      <c r="E30" s="15" t="n"/>
      <c r="F30" s="15" t="n"/>
      <c r="G30" s="15" t="n"/>
    </row>
    <row r="31">
      <c r="A31" s="1" t="inlineStr">
        <is>
          <t>C) PROVENTI E ONERI FINANZIARI</t>
        </is>
      </c>
      <c r="B31" s="64" t="n"/>
      <c r="C31" s="4" t="n"/>
      <c r="D31" s="4" t="n"/>
      <c r="E31" s="4" t="n"/>
      <c r="F31" s="4" t="n"/>
      <c r="G31" s="4" t="n"/>
    </row>
    <row r="32">
      <c r="A32" s="7" t="inlineStr">
        <is>
          <t>16) Altri proventi finanziari</t>
        </is>
      </c>
      <c r="B32" s="8" t="n"/>
      <c r="C32" s="9" t="n"/>
      <c r="D32" s="9" t="n"/>
      <c r="E32" s="9" t="n"/>
      <c r="F32" s="9" t="n"/>
      <c r="G32" s="9" t="n"/>
    </row>
    <row r="33">
      <c r="A33" s="10" t="inlineStr">
        <is>
          <t>d) Proventi diversi dai precedenti</t>
        </is>
      </c>
      <c r="B33" s="10" t="n"/>
      <c r="C33" s="9" t="n"/>
      <c r="D33" s="9" t="n"/>
      <c r="E33" s="9" t="n"/>
      <c r="F33" s="9" t="n"/>
      <c r="G33" s="9" t="n"/>
    </row>
    <row r="34">
      <c r="A34" s="12" t="inlineStr">
        <is>
          <t>Altri</t>
        </is>
      </c>
      <c r="B34" s="12" t="n"/>
      <c r="C34" s="9" t="n"/>
      <c r="D34" s="9" t="n"/>
      <c r="E34" s="9" t="n"/>
      <c r="F34" s="9" t="n"/>
      <c r="G34" s="9" t="n"/>
    </row>
    <row r="35">
      <c r="A35" s="13" t="inlineStr">
        <is>
          <t>Totale proventi diversi dai precedenti</t>
        </is>
      </c>
      <c r="B35" s="5" t="n"/>
      <c r="C35" s="6" t="n"/>
      <c r="D35" s="6" t="n"/>
      <c r="E35" s="6" t="n"/>
      <c r="F35" s="6" t="n"/>
      <c r="G35" s="6" t="n"/>
    </row>
    <row r="36">
      <c r="A36" s="11" t="inlineStr">
        <is>
          <t>Totale altri proventi finanziari</t>
        </is>
      </c>
      <c r="B36" s="5" t="n"/>
      <c r="C36" s="6" t="n"/>
      <c r="D36" s="6" t="n"/>
      <c r="E36" s="6" t="n"/>
      <c r="F36" s="6" t="n"/>
      <c r="G36" s="6" t="n"/>
    </row>
    <row r="37">
      <c r="A37" s="7" t="inlineStr">
        <is>
          <t>17) Interessi e altri oneri finanziari</t>
        </is>
      </c>
      <c r="B37" s="8" t="n"/>
      <c r="C37" s="9" t="n"/>
      <c r="D37" s="9" t="n"/>
      <c r="E37" s="9" t="n"/>
      <c r="F37" s="9" t="n"/>
      <c r="G37" s="9" t="n"/>
    </row>
    <row r="38">
      <c r="A38" s="10" t="inlineStr">
        <is>
          <t>Altri</t>
        </is>
      </c>
      <c r="B38" s="10" t="n"/>
      <c r="C38" s="9" t="n"/>
      <c r="D38" s="9" t="n"/>
      <c r="E38" s="9" t="n"/>
      <c r="F38" s="9" t="n"/>
      <c r="G38" s="9" t="n"/>
    </row>
    <row r="39">
      <c r="A39" s="11" t="inlineStr">
        <is>
          <t>Totale interessi e altri oneri finanziari</t>
        </is>
      </c>
      <c r="B39" s="5" t="n"/>
      <c r="C39" s="6" t="n"/>
      <c r="D39" s="6" t="n"/>
      <c r="E39" s="6" t="n"/>
      <c r="F39" s="6" t="n"/>
      <c r="G39" s="6" t="n"/>
    </row>
    <row r="40">
      <c r="A40" s="8" t="inlineStr">
        <is>
          <t>17-bis) Utili e perdite su cambi</t>
        </is>
      </c>
      <c r="B40" s="8" t="n"/>
      <c r="C40" s="9" t="n"/>
      <c r="D40" s="9" t="n"/>
      <c r="E40" s="9" t="n"/>
      <c r="F40" s="9" t="n"/>
      <c r="G40" s="9" t="n"/>
    </row>
    <row r="41">
      <c r="A41" s="5" t="inlineStr">
        <is>
          <t>Totale proventi e oneri finanziari (C) (15+16-17+-17-bis)</t>
        </is>
      </c>
      <c r="B41" s="5" t="n"/>
      <c r="C41" s="6" t="n"/>
      <c r="D41" s="6" t="n"/>
      <c r="E41" s="6" t="n"/>
      <c r="F41" s="6" t="n"/>
      <c r="G41" s="6" t="n"/>
    </row>
    <row r="42">
      <c r="A42" s="1" t="inlineStr">
        <is>
          <t>D) RETTIFICHE DI VALORE DI ATTIVITÀ E PASSIVITÀ FINANZIARIE</t>
        </is>
      </c>
      <c r="B42" s="64" t="n"/>
      <c r="C42" s="4" t="n"/>
      <c r="D42" s="4" t="n"/>
      <c r="E42" s="4" t="n"/>
      <c r="F42" s="4" t="n"/>
      <c r="G42" s="4" t="n"/>
    </row>
    <row r="43">
      <c r="A43" s="7" t="inlineStr">
        <is>
          <t>18) Rivalutazioni:</t>
        </is>
      </c>
      <c r="B43" s="8" t="n"/>
      <c r="C43" s="9" t="n"/>
      <c r="D43" s="9" t="n"/>
      <c r="E43" s="9" t="n"/>
      <c r="F43" s="9" t="n"/>
      <c r="G43" s="9" t="n"/>
    </row>
    <row r="44">
      <c r="A44" s="10" t="inlineStr">
        <is>
          <t>c) Di titoli iscritti nell'attivo circolante che non costituiscono partecipazioni</t>
        </is>
      </c>
      <c r="B44" s="10" t="n"/>
      <c r="C44" s="9" t="n"/>
      <c r="D44" s="9" t="n"/>
      <c r="E44" s="9" t="n"/>
      <c r="F44" s="9" t="n"/>
      <c r="G44" s="9" t="n"/>
    </row>
    <row r="45">
      <c r="A45" s="11" t="inlineStr">
        <is>
          <t>Totale rivalutazioni</t>
        </is>
      </c>
      <c r="B45" s="5" t="n"/>
      <c r="C45" s="6" t="n"/>
      <c r="D45" s="6" t="n"/>
      <c r="E45" s="6" t="n"/>
      <c r="F45" s="6" t="n"/>
      <c r="G45" s="6" t="n"/>
    </row>
    <row r="46">
      <c r="A46" s="7" t="inlineStr">
        <is>
          <t>19) Svalutazioni:</t>
        </is>
      </c>
      <c r="B46" s="8" t="n"/>
      <c r="C46" s="9" t="n"/>
      <c r="D46" s="9" t="n"/>
      <c r="E46" s="9" t="n"/>
      <c r="F46" s="9" t="n"/>
      <c r="G46" s="9" t="n"/>
    </row>
    <row r="47">
      <c r="A47" s="10" t="inlineStr">
        <is>
          <t>c) Di titoli iscritti nell'attivo circolante che non costituiscono partecipazioni</t>
        </is>
      </c>
      <c r="B47" s="10" t="n"/>
      <c r="C47" s="9" t="n"/>
      <c r="D47" s="9" t="n"/>
      <c r="E47" s="9" t="n"/>
      <c r="F47" s="9" t="n"/>
      <c r="G47" s="9" t="n"/>
    </row>
    <row r="48">
      <c r="A48" s="11" t="inlineStr">
        <is>
          <t>Totale svalutazioni</t>
        </is>
      </c>
      <c r="B48" s="5" t="n"/>
      <c r="C48" s="6" t="n"/>
      <c r="D48" s="6" t="n"/>
      <c r="E48" s="6" t="n"/>
      <c r="F48" s="6" t="n"/>
      <c r="G48" s="6" t="n"/>
    </row>
    <row r="49">
      <c r="A49" s="5" t="inlineStr">
        <is>
          <t>Totale rettifiche di valore di attività e passività finanziarie (18-19)</t>
        </is>
      </c>
      <c r="B49" s="5" t="n"/>
      <c r="C49" s="6" t="n"/>
      <c r="D49" s="6" t="n"/>
      <c r="E49" s="6" t="n"/>
      <c r="F49" s="6" t="n"/>
      <c r="G49" s="6" t="n"/>
    </row>
    <row r="50">
      <c r="A50" s="14" t="inlineStr">
        <is>
          <t>RISULTATO PRIMA DELLE IMPOSTE (A-B+C+D)</t>
        </is>
      </c>
      <c r="B50" s="14" t="n"/>
      <c r="C50" s="15" t="n"/>
      <c r="D50" s="15" t="n"/>
      <c r="E50" s="15" t="n"/>
      <c r="F50" s="15" t="n"/>
      <c r="G50" s="15" t="n"/>
    </row>
    <row r="51">
      <c r="A51" s="7" t="inlineStr">
        <is>
          <t>20) Imposte sul reddito dell'esercizio, correnti, differite e anticipate</t>
        </is>
      </c>
      <c r="B51" s="8" t="n"/>
      <c r="C51" s="9" t="n"/>
      <c r="D51" s="9" t="n"/>
      <c r="E51" s="9" t="n"/>
      <c r="F51" s="9" t="n"/>
      <c r="G51" s="9" t="n"/>
    </row>
    <row r="52">
      <c r="A52" s="10" t="inlineStr">
        <is>
          <t>Imposte correnti</t>
        </is>
      </c>
      <c r="B52" s="10" t="n"/>
      <c r="C52" s="9" t="n"/>
      <c r="D52" s="9" t="n"/>
      <c r="E52" s="9" t="n"/>
      <c r="F52" s="9" t="n"/>
      <c r="G52" s="9" t="n"/>
    </row>
    <row r="53">
      <c r="A53" s="10" t="inlineStr">
        <is>
          <t>Imposte differite e anticipate</t>
        </is>
      </c>
      <c r="B53" s="10" t="n"/>
      <c r="C53" s="9" t="n"/>
      <c r="D53" s="9" t="n"/>
      <c r="E53" s="9" t="n"/>
      <c r="F53" s="9" t="n"/>
      <c r="G53" s="9" t="n"/>
    </row>
    <row r="54">
      <c r="A54" s="11" t="inlineStr">
        <is>
          <t>Totale delle imposte sul reddito dell'esercizio, correnti, differite e anticipate</t>
        </is>
      </c>
      <c r="B54" s="5" t="n"/>
      <c r="C54" s="6" t="n"/>
      <c r="D54" s="6" t="n"/>
      <c r="E54" s="6" t="n"/>
      <c r="F54" s="6" t="n"/>
      <c r="G54" s="6" t="n"/>
    </row>
    <row r="55">
      <c r="A55" s="14" t="inlineStr">
        <is>
          <t>21) UTILE (PERDITA) D'ESERCIZIO</t>
        </is>
      </c>
      <c r="B55" s="14" t="n"/>
      <c r="C55" s="15" t="n"/>
      <c r="D55" s="15" t="n"/>
      <c r="E55" s="15" t="n"/>
      <c r="F55" s="15" t="n"/>
      <c r="G55" s="15" t="n"/>
    </row>
  </sheetData>
  <mergeCells count="4">
    <mergeCell ref="A31:B31"/>
    <mergeCell ref="A11:B11"/>
    <mergeCell ref="A1:G1"/>
    <mergeCell ref="A42:B4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zoomScale="84" workbookViewId="0">
      <selection activeCell="D34" sqref="D34"/>
    </sheetView>
  </sheetViews>
  <sheetFormatPr baseColWidth="10" defaultRowHeight="15"/>
  <cols>
    <col width="29" customWidth="1" min="1" max="1"/>
    <col width="16" customWidth="1" min="2" max="8"/>
    <col width="37.5" customWidth="1" min="9" max="9"/>
  </cols>
  <sheetData>
    <row r="1" ht="19" customHeight="1" thickBot="1">
      <c r="A1" s="2" t="inlineStr">
        <is>
          <t>INDICI DI BILANCIO E KPI</t>
        </is>
      </c>
      <c r="B1" s="59" t="n"/>
      <c r="C1" s="59" t="n"/>
      <c r="D1" s="59" t="n"/>
      <c r="E1" s="59" t="n"/>
      <c r="F1" s="59" t="n"/>
      <c r="G1" s="59" t="n"/>
      <c r="H1" s="59" t="n"/>
      <c r="I1" s="60" t="n"/>
    </row>
    <row r="2" ht="16" customHeight="1">
      <c r="A2" s="19" t="inlineStr">
        <is>
          <t>INDICATORE</t>
        </is>
      </c>
      <c r="B2" s="56" t="n">
        <v>2022</v>
      </c>
      <c r="C2" s="56" t="n">
        <v>2023</v>
      </c>
      <c r="D2" s="56" t="n">
        <v>2024</v>
      </c>
      <c r="E2" s="56" t="n">
        <v>2025</v>
      </c>
      <c r="F2" s="56" t="n">
        <v>2026</v>
      </c>
      <c r="G2" s="56" t="n">
        <v>2027</v>
      </c>
      <c r="H2" s="56" t="inlineStr">
        <is>
          <t>Media</t>
        </is>
      </c>
      <c r="I2" s="58" t="inlineStr">
        <is>
          <t>Formula</t>
        </is>
      </c>
    </row>
    <row r="3">
      <c r="A3" s="46" t="inlineStr">
        <is>
          <t>REDDITIVITÀ</t>
        </is>
      </c>
      <c r="B3" s="3" t="n"/>
      <c r="C3" s="64" t="n"/>
      <c r="D3" s="64" t="n"/>
      <c r="E3" s="64" t="n"/>
      <c r="F3" s="64" t="n"/>
      <c r="G3" s="64" t="n"/>
      <c r="H3" s="64" t="n"/>
      <c r="I3" s="65" t="n"/>
    </row>
    <row r="4">
      <c r="A4" s="8" t="inlineStr">
        <is>
          <t>ROE</t>
        </is>
      </c>
      <c r="B4" s="43" t="n"/>
      <c r="C4" s="43" t="n"/>
      <c r="D4" s="43" t="n"/>
      <c r="E4" s="43" t="n"/>
      <c r="F4" s="43" t="n"/>
      <c r="G4" s="43" t="n"/>
      <c r="H4" s="43">
        <f>IFERROR(AVERAGE(B4:F4),"-")</f>
        <v/>
      </c>
      <c r="I4" s="44" t="inlineStr">
        <is>
          <t>ROE = Utile netto / Patrimonio netto</t>
        </is>
      </c>
    </row>
    <row r="5">
      <c r="A5" s="8" t="inlineStr">
        <is>
          <t>ROI</t>
        </is>
      </c>
      <c r="B5" s="43" t="n"/>
      <c r="C5" s="43" t="n"/>
      <c r="D5" s="43" t="n"/>
      <c r="E5" s="43" t="n"/>
      <c r="F5" s="43" t="n"/>
      <c r="G5" s="43" t="n"/>
      <c r="H5" s="43">
        <f>IFERROR(AVERAGE(B5:F5),"-")</f>
        <v/>
      </c>
      <c r="I5" s="44" t="inlineStr">
        <is>
          <t>ROI = EBIT / Capitale investito (Totale attivo)</t>
        </is>
      </c>
    </row>
    <row r="6">
      <c r="A6" s="8" t="inlineStr">
        <is>
          <t>ROS</t>
        </is>
      </c>
      <c r="B6" s="43" t="n"/>
      <c r="C6" s="43" t="n"/>
      <c r="D6" s="43" t="n"/>
      <c r="E6" s="43" t="n"/>
      <c r="F6" s="43" t="n"/>
      <c r="G6" s="43" t="n"/>
      <c r="H6" s="43">
        <f>IFERROR(AVERAGE(B6:F6),"-")</f>
        <v/>
      </c>
      <c r="I6" s="44" t="inlineStr">
        <is>
          <t>ROS = EBIT / Ricavi delle vendite</t>
        </is>
      </c>
    </row>
    <row r="7">
      <c r="A7" s="8" t="inlineStr">
        <is>
          <t>Gross margin</t>
        </is>
      </c>
      <c r="B7" s="43" t="n"/>
      <c r="C7" s="43" t="n"/>
      <c r="D7" s="43" t="n"/>
      <c r="E7" s="43" t="n"/>
      <c r="F7" s="43" t="n"/>
      <c r="G7" s="43" t="n"/>
      <c r="H7" s="43">
        <f>IFERROR(AVERAGE(B7:F7),"-")</f>
        <v/>
      </c>
      <c r="I7" s="44" t="inlineStr">
        <is>
          <t>Gross margin = Utile lordo / Ricavi</t>
        </is>
      </c>
    </row>
    <row r="8">
      <c r="A8" s="8" t="inlineStr">
        <is>
          <t>EBITDA margin</t>
        </is>
      </c>
      <c r="B8" s="43" t="n"/>
      <c r="C8" s="43" t="n"/>
      <c r="D8" s="43" t="n"/>
      <c r="E8" s="43" t="n"/>
      <c r="F8" s="43" t="n"/>
      <c r="G8" s="43" t="n"/>
      <c r="H8" s="43">
        <f>IFERROR(AVERAGE(B8:F8),"-")</f>
        <v/>
      </c>
      <c r="I8" s="44" t="inlineStr">
        <is>
          <t>EBITDA margin = EBITDA / Ricavi totali</t>
        </is>
      </c>
    </row>
    <row r="9">
      <c r="A9" s="8" t="inlineStr">
        <is>
          <t>Net margin</t>
        </is>
      </c>
      <c r="B9" s="43" t="n"/>
      <c r="C9" s="43" t="n"/>
      <c r="D9" s="43" t="n"/>
      <c r="E9" s="43" t="n"/>
      <c r="F9" s="43" t="n"/>
      <c r="G9" s="43" t="n"/>
      <c r="H9" s="43">
        <f>IFERROR(AVERAGE(B9:F9),"-")</f>
        <v/>
      </c>
      <c r="I9" s="44" t="inlineStr">
        <is>
          <t>Net margin = Utile netto / Ricavi totali</t>
        </is>
      </c>
    </row>
    <row r="10">
      <c r="A10" s="22" t="inlineStr">
        <is>
          <t>STRUTTURA FINANZIARIA E LEVA</t>
        </is>
      </c>
      <c r="B10" s="32" t="n"/>
      <c r="C10" s="64" t="n"/>
      <c r="D10" s="64" t="n"/>
      <c r="E10" s="64" t="n"/>
      <c r="F10" s="64" t="n"/>
      <c r="G10" s="64" t="n"/>
      <c r="H10" s="64" t="n"/>
      <c r="I10" s="65" t="n"/>
    </row>
    <row r="11">
      <c r="A11" s="8" t="inlineStr">
        <is>
          <t>Leverage (D/E)</t>
        </is>
      </c>
      <c r="B11" s="45" t="n"/>
      <c r="C11" s="45" t="n"/>
      <c r="D11" s="45" t="n"/>
      <c r="E11" s="45" t="n"/>
      <c r="F11" s="45" t="n"/>
      <c r="G11" s="45" t="n"/>
      <c r="H11" s="45">
        <f>IFERROR(AVERAGE(B11:F11),"-")</f>
        <v/>
      </c>
      <c r="I11" s="44" t="inlineStr">
        <is>
          <t>Leverage = Debiti finanziari / Patrimonio netto</t>
        </is>
      </c>
    </row>
    <row r="12">
      <c r="A12" s="8" t="inlineStr">
        <is>
          <t>Posizione Finanziaria Netta (PFN)</t>
        </is>
      </c>
      <c r="B12" s="9" t="n"/>
      <c r="C12" s="9" t="n"/>
      <c r="D12" s="9" t="n"/>
      <c r="E12" s="9" t="n"/>
      <c r="F12" s="9" t="n"/>
      <c r="G12" s="9" t="n"/>
      <c r="H12" s="9">
        <f>IFERROR(AVERAGE(B12:F12),"-")</f>
        <v/>
      </c>
      <c r="I12" s="44" t="inlineStr">
        <is>
          <t>PFN = Debiti finanziari − Disponibilità liquide</t>
        </is>
      </c>
    </row>
    <row r="13">
      <c r="A13" s="8" t="inlineStr">
        <is>
          <t>PFN / EBITDA</t>
        </is>
      </c>
      <c r="B13" s="45" t="n"/>
      <c r="C13" s="45" t="n"/>
      <c r="D13" s="45" t="n"/>
      <c r="E13" s="45" t="n"/>
      <c r="F13" s="45" t="n"/>
      <c r="G13" s="45" t="n"/>
      <c r="H13" s="45">
        <f>IFERROR(AVERAGE(B13:F13),"-")</f>
        <v/>
      </c>
      <c r="I13" s="44" t="inlineStr">
        <is>
          <t>PFN / EBITDA (sostenibilità del debito)</t>
        </is>
      </c>
    </row>
    <row r="14">
      <c r="A14" s="8" t="inlineStr">
        <is>
          <t>Capitale Investito Netto (CIN)</t>
        </is>
      </c>
      <c r="B14" s="9" t="n"/>
      <c r="C14" s="9" t="n"/>
      <c r="D14" s="9" t="n"/>
      <c r="E14" s="9" t="n"/>
      <c r="F14" s="9" t="n"/>
      <c r="G14" s="9" t="n"/>
      <c r="H14" s="9">
        <f>IFERROR(AVERAGE(B14:F14),"-")</f>
        <v/>
      </c>
      <c r="I14" s="44" t="inlineStr">
        <is>
          <t>CIN = CCN + Immobilizzazioni nette</t>
        </is>
      </c>
    </row>
    <row r="15">
      <c r="A15" s="8" t="inlineStr">
        <is>
          <t>Capitale Circolante Netto (CCN)</t>
        </is>
      </c>
      <c r="B15" s="9" t="n"/>
      <c r="C15" s="9" t="n"/>
      <c r="D15" s="9" t="n"/>
      <c r="E15" s="9" t="n"/>
      <c r="F15" s="9" t="n"/>
      <c r="G15" s="9" t="n"/>
      <c r="H15" s="9">
        <f>IFERROR(AVERAGE(B15:F15),"-")</f>
        <v/>
      </c>
      <c r="I15" s="44" t="inlineStr">
        <is>
          <t>CCN = Attività a breve − Passività a breve</t>
        </is>
      </c>
    </row>
    <row r="16">
      <c r="A16" s="8" t="inlineStr">
        <is>
          <t>DSCR</t>
        </is>
      </c>
      <c r="B16" s="45" t="n"/>
      <c r="C16" s="45" t="n"/>
      <c r="D16" s="45" t="n"/>
      <c r="E16" s="45" t="n"/>
      <c r="F16" s="45" t="n"/>
      <c r="G16" s="45" t="n"/>
      <c r="H16" s="45">
        <f>IFERROR(AVERAGE(B16:F16),"-")</f>
        <v/>
      </c>
      <c r="I16" s="44" t="inlineStr">
        <is>
          <t>DSCR = Flusso operativo / Servizio del debito</t>
        </is>
      </c>
    </row>
    <row r="17">
      <c r="A17" s="22" t="inlineStr">
        <is>
          <t>VALORE E COSTO DEL CAPITALE</t>
        </is>
      </c>
      <c r="B17" s="32" t="n"/>
      <c r="C17" s="64" t="n"/>
      <c r="D17" s="64" t="n"/>
      <c r="E17" s="64" t="n"/>
      <c r="F17" s="64" t="n"/>
      <c r="G17" s="64" t="n"/>
      <c r="H17" s="64" t="n"/>
      <c r="I17" s="65" t="n"/>
    </row>
    <row r="18">
      <c r="A18" s="8" t="inlineStr">
        <is>
          <t>WACC</t>
        </is>
      </c>
      <c r="B18" s="43" t="n"/>
      <c r="C18" s="43" t="n"/>
      <c r="D18" s="43" t="n"/>
      <c r="E18" s="43" t="n"/>
      <c r="F18" s="43" t="n"/>
      <c r="G18" s="43" t="n"/>
      <c r="H18" s="43">
        <f>IFERROR(AVERAGE(B18:F18),"-")</f>
        <v/>
      </c>
      <c r="I18" s="44" t="inlineStr">
        <is>
          <t>WACC = E/(D+E)·Ke + D/(D+E)·Kd·(1−t)</t>
        </is>
      </c>
    </row>
    <row r="19">
      <c r="A19" s="8" t="inlineStr">
        <is>
          <t>EVA</t>
        </is>
      </c>
      <c r="B19" s="9" t="n"/>
      <c r="C19" s="9" t="n"/>
      <c r="D19" s="9" t="n"/>
      <c r="E19" s="9" t="n"/>
      <c r="F19" s="9" t="n"/>
      <c r="G19" s="9" t="n"/>
      <c r="H19" s="9">
        <f>IFERROR(AVERAGE(B19:F19),"-")</f>
        <v/>
      </c>
      <c r="I19" s="44" t="inlineStr">
        <is>
          <t>EVA = NOPAT − (CIN × WACC)</t>
        </is>
      </c>
    </row>
    <row r="20">
      <c r="A20" s="8" t="inlineStr">
        <is>
          <t>NOPAT</t>
        </is>
      </c>
      <c r="B20" s="9" t="n"/>
      <c r="C20" s="9" t="n"/>
      <c r="D20" s="9" t="n"/>
      <c r="E20" s="9" t="n"/>
      <c r="F20" s="9" t="n"/>
      <c r="G20" s="9" t="n"/>
      <c r="H20" s="9">
        <f>IFERROR(AVERAGE(B20:F20),"-")</f>
        <v/>
      </c>
      <c r="I20" s="44" t="inlineStr">
        <is>
          <t>NOPAT = EBIT × (1 − aliquota fiscale)</t>
        </is>
      </c>
    </row>
    <row r="21">
      <c r="A21" s="22" t="inlineStr">
        <is>
          <t>KPI SaaS / OPERATIVI (se applicabili)</t>
        </is>
      </c>
      <c r="B21" s="32" t="n"/>
      <c r="C21" s="64" t="n"/>
      <c r="D21" s="64" t="n"/>
      <c r="E21" s="64" t="n"/>
      <c r="F21" s="64" t="n"/>
      <c r="G21" s="64" t="n"/>
      <c r="H21" s="64" t="n"/>
      <c r="I21" s="65" t="n"/>
    </row>
    <row r="22">
      <c r="A22" s="8" t="inlineStr">
        <is>
          <t>ARR</t>
        </is>
      </c>
      <c r="B22" s="9" t="n"/>
      <c r="C22" s="9" t="n"/>
      <c r="D22" s="9" t="n"/>
      <c r="E22" s="9" t="n"/>
      <c r="F22" s="9" t="n"/>
      <c r="G22" s="9" t="n"/>
      <c r="H22" s="9">
        <f>IFERROR(AVERAGE(B22:F22),"-")</f>
        <v/>
      </c>
      <c r="I22" s="44" t="inlineStr">
        <is>
          <t>ARR = Ricavi ricorrenti annui</t>
        </is>
      </c>
    </row>
    <row r="23">
      <c r="A23" s="8" t="inlineStr">
        <is>
          <t>LTV</t>
        </is>
      </c>
      <c r="B23" s="9" t="n"/>
      <c r="C23" s="9" t="n"/>
      <c r="D23" s="9" t="n"/>
      <c r="E23" s="9" t="n"/>
      <c r="F23" s="9" t="n"/>
      <c r="G23" s="9" t="n"/>
      <c r="H23" s="9">
        <f>IFERROR(AVERAGE(B23:F23),"-")</f>
        <v/>
      </c>
      <c r="I23" s="44" t="inlineStr">
        <is>
          <t>LTV = ARPU × Gross margin × Lifetime</t>
        </is>
      </c>
    </row>
    <row r="24">
      <c r="A24" s="8" t="inlineStr">
        <is>
          <t>CAC</t>
        </is>
      </c>
      <c r="B24" s="9" t="n"/>
      <c r="C24" s="9" t="n"/>
      <c r="D24" s="9" t="n"/>
      <c r="E24" s="9" t="n"/>
      <c r="F24" s="9" t="n"/>
      <c r="G24" s="9" t="n"/>
      <c r="H24" s="9">
        <f>IFERROR(AVERAGE(B24:F24),"-")</f>
        <v/>
      </c>
      <c r="I24" s="44" t="inlineStr">
        <is>
          <t>CAC = (Vendite + Marketing) / N° nuovi clienti</t>
        </is>
      </c>
    </row>
    <row r="25">
      <c r="A25" s="8" t="inlineStr">
        <is>
          <t>LTV / CAC</t>
        </is>
      </c>
      <c r="B25" s="45" t="n"/>
      <c r="C25" s="45" t="n"/>
      <c r="D25" s="45" t="n"/>
      <c r="E25" s="45" t="n"/>
      <c r="F25" s="45" t="n"/>
      <c r="G25" s="45" t="n"/>
      <c r="H25" s="45">
        <f>IFERROR(AVERAGE(B25:F25),"-")</f>
        <v/>
      </c>
      <c r="I25" s="44" t="inlineStr">
        <is>
          <t>LTV / CAC (target &gt; 3x)</t>
        </is>
      </c>
    </row>
    <row r="26">
      <c r="A26" s="8" t="inlineStr">
        <is>
          <t>CAGR ricavi</t>
        </is>
      </c>
      <c r="B26" s="43" t="n"/>
      <c r="C26" s="43" t="n"/>
      <c r="D26" s="43" t="n"/>
      <c r="E26" s="43" t="n"/>
      <c r="F26" s="43" t="n"/>
      <c r="G26" s="43" t="n"/>
      <c r="H26" s="43">
        <f>IFERROR(AVERAGE(B26:F26),"-")</f>
        <v/>
      </c>
      <c r="I26" s="44" t="inlineStr">
        <is>
          <t>CAGR = (Finale/Iniziale)^(1/n) − 1</t>
        </is>
      </c>
    </row>
    <row r="27">
      <c r="A27" s="8" t="inlineStr">
        <is>
          <t>Break Even Point (unità)</t>
        </is>
      </c>
      <c r="B27" s="9" t="n"/>
      <c r="C27" s="9" t="n"/>
      <c r="D27" s="9" t="n"/>
      <c r="E27" s="9" t="n"/>
      <c r="F27" s="9" t="n"/>
      <c r="G27" s="9" t="n"/>
      <c r="H27" s="9">
        <f>IFERROR(AVERAGE(B27:F27),"-")</f>
        <v/>
      </c>
      <c r="I27" s="44" t="inlineStr">
        <is>
          <t>BEP = Costi fissi / Margine di contribuzione unitario</t>
        </is>
      </c>
    </row>
  </sheetData>
  <mergeCells count="5">
    <mergeCell ref="B21:I21"/>
    <mergeCell ref="B10:I10"/>
    <mergeCell ref="A1:I1"/>
    <mergeCell ref="B3:I3"/>
    <mergeCell ref="B17:I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F17" sqref="F17"/>
    </sheetView>
  </sheetViews>
  <sheetFormatPr baseColWidth="10" defaultRowHeight="15"/>
  <cols>
    <col width="27.5" customWidth="1" min="1" max="1"/>
    <col width="16" customWidth="1" min="2" max="7"/>
  </cols>
  <sheetData>
    <row r="1" ht="19" customHeight="1" thickBot="1">
      <c r="A1" s="2" t="inlineStr">
        <is>
          <t>VALUTAZIONE INVESTIMENTI — VAN, TIR, Payback</t>
        </is>
      </c>
      <c r="B1" s="59" t="n"/>
      <c r="C1" s="59" t="n"/>
      <c r="D1" s="59" t="n"/>
      <c r="E1" s="59" t="n"/>
      <c r="F1" s="59" t="n"/>
      <c r="G1" s="60" t="n"/>
    </row>
    <row r="2">
      <c r="A2" s="38" t="inlineStr">
        <is>
          <t>Tasso di attualizzazione (WACC)</t>
        </is>
      </c>
      <c r="B2" s="39" t="n"/>
      <c r="C2" s="40" t="inlineStr">
        <is>
          <t>← inserire</t>
        </is>
      </c>
    </row>
    <row r="4">
      <c r="A4" s="3" t="inlineStr">
        <is>
          <t>Anno</t>
        </is>
      </c>
      <c r="B4" s="26" t="n">
        <v>2022</v>
      </c>
      <c r="C4" s="26" t="n">
        <v>2023</v>
      </c>
      <c r="D4" s="26" t="n">
        <v>2024</v>
      </c>
      <c r="E4" s="26" t="n">
        <v>2025</v>
      </c>
      <c r="F4" s="26" t="n">
        <v>2026</v>
      </c>
      <c r="G4" s="26" t="n">
        <v>2027</v>
      </c>
    </row>
    <row r="5">
      <c r="A5" s="8" t="inlineStr">
        <is>
          <t>Flusso di cassa (FCF)</t>
        </is>
      </c>
      <c r="B5" s="34" t="n"/>
      <c r="C5" s="34" t="n"/>
      <c r="D5" s="34" t="n"/>
      <c r="E5" s="34" t="n"/>
      <c r="F5" s="34" t="n"/>
      <c r="G5" s="34" t="n"/>
    </row>
    <row r="6">
      <c r="A6" s="8" t="inlineStr">
        <is>
          <t>Flusso di cassa attualizzato</t>
        </is>
      </c>
      <c r="B6" s="34">
        <f>B5/(1+$B$2)^0</f>
        <v/>
      </c>
      <c r="C6" s="34">
        <f>C5/(1+$B$2)^1</f>
        <v/>
      </c>
      <c r="D6" s="34">
        <f>D5/(1+$B$2)^2</f>
        <v/>
      </c>
      <c r="E6" s="34">
        <f>E5/(1+$B$2)^3</f>
        <v/>
      </c>
      <c r="F6" s="34">
        <f>F5/(1+$B$2)^4</f>
        <v/>
      </c>
      <c r="G6" s="34">
        <f>G5/(1+$B$2)^5</f>
        <v/>
      </c>
    </row>
    <row r="7">
      <c r="A7" s="8" t="inlineStr">
        <is>
          <t>FCF cumulato (per Payback)</t>
        </is>
      </c>
      <c r="B7" s="34">
        <f>B5</f>
        <v/>
      </c>
      <c r="C7" s="34">
        <f>B7+C5</f>
        <v/>
      </c>
      <c r="D7" s="34">
        <f>C7+D5</f>
        <v/>
      </c>
      <c r="E7" s="34">
        <f>D7+E5</f>
        <v/>
      </c>
      <c r="F7" s="34">
        <f>E7+F5</f>
        <v/>
      </c>
      <c r="G7" s="34">
        <f>F7+G5</f>
        <v/>
      </c>
    </row>
    <row r="9">
      <c r="A9" s="14" t="inlineStr">
        <is>
          <t>VAN (Valore Attuale Netto)</t>
        </is>
      </c>
      <c r="B9" s="36">
        <f>SUM(B6:G6)</f>
        <v/>
      </c>
    </row>
    <row r="10">
      <c r="A10" s="14" t="inlineStr">
        <is>
          <t>TIR (Tasso Interno di Rendimento)</t>
        </is>
      </c>
      <c r="B10" s="41">
        <f>IFERROR(IRR(B5:G5),"n.d.")</f>
        <v/>
      </c>
    </row>
    <row r="11">
      <c r="A11" s="5" t="inlineStr">
        <is>
          <t>Indice di redditività (PI)</t>
        </is>
      </c>
      <c r="B11" s="42">
        <f>IFERROR(SUM(C6:G6)/-B5,"n.d.")</f>
        <v/>
      </c>
    </row>
    <row r="12">
      <c r="A12" s="40" t="inlineStr">
        <is>
          <t>Regola: si accetta se VAN &gt; 0 e TIR &gt; WACC</t>
        </is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2" sqref="A2"/>
    </sheetView>
  </sheetViews>
  <sheetFormatPr baseColWidth="10" defaultRowHeight="15"/>
  <cols>
    <col width="42" customWidth="1" min="1" max="1"/>
    <col width="16" customWidth="1" min="2" max="2"/>
    <col width="42" customWidth="1" min="3" max="3"/>
  </cols>
  <sheetData>
    <row r="1" ht="19" customHeight="1" thickBot="1">
      <c r="A1" s="2" t="inlineStr">
        <is>
          <t>COSTO MEDIO PONDERATO DEL CAPITALE (WACC)</t>
        </is>
      </c>
      <c r="B1" s="59" t="n"/>
      <c r="C1" s="60" t="n"/>
    </row>
    <row r="3">
      <c r="A3" s="37" t="inlineStr">
        <is>
          <t>COSTO DEL CAPITALE PROPRIO (Ke) — CAPM</t>
        </is>
      </c>
      <c r="B3" s="47" t="n"/>
    </row>
    <row r="4">
      <c r="A4" s="48" t="inlineStr">
        <is>
          <t>Risk-free rate (Rf)</t>
        </is>
      </c>
      <c r="B4" s="39" t="n"/>
      <c r="C4" s="40" t="inlineStr">
        <is>
          <t>← input (es. BTP 10Y)</t>
        </is>
      </c>
    </row>
    <row r="5">
      <c r="A5" s="48" t="inlineStr">
        <is>
          <t>Beta (β)</t>
        </is>
      </c>
      <c r="B5" s="49" t="n"/>
      <c r="C5" s="40" t="inlineStr">
        <is>
          <t>← input (rischio sistematico)</t>
        </is>
      </c>
    </row>
    <row r="6">
      <c r="A6" s="48" t="inlineStr">
        <is>
          <t>Premio per il rischio di mercato (Rm − Rf)</t>
        </is>
      </c>
      <c r="B6" s="39" t="n"/>
      <c r="C6" s="40" t="inlineStr">
        <is>
          <t>← input</t>
        </is>
      </c>
    </row>
    <row r="7">
      <c r="A7" s="5" t="inlineStr">
        <is>
          <t>Ke = Rf + β·(Rm − Rf)</t>
        </is>
      </c>
      <c r="B7" s="50">
        <f>B4+B5*B6</f>
        <v/>
      </c>
      <c r="C7" s="40" t="inlineStr">
        <is>
          <t>Costo equity (CAPM)</t>
        </is>
      </c>
    </row>
    <row r="8">
      <c r="A8" s="37" t="inlineStr">
        <is>
          <t>COSTO DEL DEBITO (Kd)</t>
        </is>
      </c>
      <c r="B8" s="47" t="n"/>
    </row>
    <row r="9">
      <c r="A9" s="48" t="inlineStr">
        <is>
          <t>Costo del debito lordo (Kd)</t>
        </is>
      </c>
      <c r="B9" s="39" t="n"/>
      <c r="C9" s="40" t="inlineStr">
        <is>
          <t>← input</t>
        </is>
      </c>
    </row>
    <row r="10">
      <c r="A10" s="48" t="inlineStr">
        <is>
          <t>Aliquota fiscale (t)</t>
        </is>
      </c>
      <c r="B10" s="39" t="n"/>
      <c r="C10" s="40" t="inlineStr">
        <is>
          <t>← input (es. IRES+IRAP)</t>
        </is>
      </c>
    </row>
    <row r="11">
      <c r="A11" s="5" t="inlineStr">
        <is>
          <t>Kd netto = Kd·(1 − t)</t>
        </is>
      </c>
      <c r="B11" s="50">
        <f>B9*(1-B10)</f>
        <v/>
      </c>
      <c r="C11" s="40" t="inlineStr">
        <is>
          <t>Scudo fiscale</t>
        </is>
      </c>
    </row>
    <row r="12">
      <c r="A12" s="37" t="inlineStr">
        <is>
          <t>STRUTTURA FINANZIARIA</t>
        </is>
      </c>
      <c r="B12" s="47" t="n"/>
    </row>
    <row r="13">
      <c r="A13" s="48" t="inlineStr">
        <is>
          <t>Equity (E)</t>
        </is>
      </c>
      <c r="B13" s="51" t="n"/>
      <c r="C13" s="40" t="inlineStr">
        <is>
          <t>← input</t>
        </is>
      </c>
    </row>
    <row r="14">
      <c r="A14" s="48" t="inlineStr">
        <is>
          <t>Debito (D)</t>
        </is>
      </c>
      <c r="B14" s="51" t="n"/>
      <c r="C14" s="40" t="inlineStr">
        <is>
          <t>← input</t>
        </is>
      </c>
    </row>
    <row r="15">
      <c r="A15" s="52" t="inlineStr">
        <is>
          <t>Peso equity  E/(D+E)</t>
        </is>
      </c>
      <c r="B15" s="53">
        <f>IFERROR(B13/(B13+B14),0)</f>
        <v/>
      </c>
    </row>
    <row r="16">
      <c r="A16" s="52" t="inlineStr">
        <is>
          <t>Peso debito  D/(D+E)</t>
        </is>
      </c>
      <c r="B16" s="53">
        <f>IFERROR(B14/(B13+B14),0)</f>
        <v/>
      </c>
    </row>
    <row r="17">
      <c r="A17" s="14" t="inlineStr">
        <is>
          <t>WACC = E/(D+E)·Ke + D/(D+E)·Kd·(1−t)</t>
        </is>
      </c>
      <c r="B17" s="41">
        <f>B15*B7+B16*B11</f>
        <v/>
      </c>
      <c r="C17" s="40" t="inlineStr">
        <is>
          <t>Costo medio ponderato</t>
        </is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E35" sqref="E35"/>
    </sheetView>
  </sheetViews>
  <sheetFormatPr baseColWidth="10" defaultRowHeight="15"/>
  <cols>
    <col width="22.83203125" customWidth="1" min="1" max="1"/>
    <col width="16" customWidth="1" min="2" max="3"/>
    <col width="22.83203125" customWidth="1" min="4" max="4"/>
    <col width="16" customWidth="1" min="5" max="6"/>
    <col width="22.83203125" customWidth="1" min="7" max="7"/>
    <col width="16" customWidth="1" min="8" max="8"/>
    <col width="22.83203125" customWidth="1" min="10" max="10"/>
    <col width="16" customWidth="1" min="11" max="11"/>
    <col width="22.83203125" customWidth="1" min="13" max="13"/>
    <col width="16" customWidth="1" min="14" max="14"/>
    <col width="22.83203125" customWidth="1" min="16" max="16"/>
    <col width="16" customWidth="1" min="17" max="17"/>
  </cols>
  <sheetData>
    <row r="1" ht="19" customHeight="1" thickBot="1">
      <c r="A1" s="2" t="inlineStr">
        <is>
          <t>DISTRIBUZIONE DEL PERSONALE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60" t="n"/>
    </row>
    <row r="2">
      <c r="A2" s="54" t="n">
        <v>2022</v>
      </c>
      <c r="B2" s="66" t="n"/>
      <c r="D2" s="54" t="n">
        <v>2023</v>
      </c>
      <c r="E2" s="66" t="n"/>
      <c r="G2" s="54" t="n">
        <v>2024</v>
      </c>
      <c r="H2" s="66" t="n"/>
      <c r="J2" s="54" t="n">
        <v>2025</v>
      </c>
      <c r="K2" s="66" t="n"/>
      <c r="M2" s="54" t="n">
        <v>2026</v>
      </c>
      <c r="N2" s="66" t="n"/>
      <c r="P2" s="54" t="n">
        <v>2027</v>
      </c>
      <c r="Q2" s="66" t="n"/>
    </row>
    <row r="3">
      <c r="A3" s="37" t="inlineStr">
        <is>
          <t>MANODOPERA DIRETTA</t>
        </is>
      </c>
      <c r="B3" s="65" t="n"/>
      <c r="D3" s="37" t="inlineStr">
        <is>
          <t>MANODOPERA DIRETTA</t>
        </is>
      </c>
      <c r="E3" s="65" t="n"/>
      <c r="G3" s="37" t="inlineStr">
        <is>
          <t>MANODOPERA DIRETTA</t>
        </is>
      </c>
      <c r="H3" s="65" t="n"/>
      <c r="J3" s="37" t="inlineStr">
        <is>
          <t>MANODOPERA DIRETTA</t>
        </is>
      </c>
      <c r="K3" s="65" t="n"/>
      <c r="M3" s="37" t="inlineStr">
        <is>
          <t>MANODOPERA DIRETTA</t>
        </is>
      </c>
      <c r="N3" s="65" t="n"/>
      <c r="P3" s="37" t="inlineStr">
        <is>
          <t>MANODOPERA DIRETTA</t>
        </is>
      </c>
      <c r="Q3" s="65" t="n"/>
    </row>
    <row r="4">
      <c r="A4" s="8" t="inlineStr">
        <is>
          <t>Operatore carpenteria</t>
        </is>
      </c>
      <c r="B4" s="34" t="n"/>
      <c r="D4" s="8" t="inlineStr">
        <is>
          <t>Operatore carpenteria</t>
        </is>
      </c>
      <c r="E4" s="34" t="n"/>
      <c r="G4" s="8" t="inlineStr">
        <is>
          <t>Operatore carpenteria</t>
        </is>
      </c>
      <c r="H4" s="34" t="n"/>
      <c r="J4" s="8" t="inlineStr">
        <is>
          <t>Operatore carpenteria</t>
        </is>
      </c>
      <c r="K4" s="34" t="n"/>
      <c r="M4" s="8" t="inlineStr">
        <is>
          <t>Operatore carpenteria</t>
        </is>
      </c>
      <c r="N4" s="34" t="n"/>
      <c r="P4" s="8" t="inlineStr">
        <is>
          <t>Operatore carpenteria</t>
        </is>
      </c>
      <c r="Q4" s="34" t="n"/>
    </row>
    <row r="5">
      <c r="A5" s="8" t="inlineStr">
        <is>
          <t>Operatore plastica</t>
        </is>
      </c>
      <c r="B5" s="34" t="n"/>
      <c r="D5" s="8" t="inlineStr">
        <is>
          <t>Operatore plastica</t>
        </is>
      </c>
      <c r="E5" s="34" t="n"/>
      <c r="G5" s="8" t="inlineStr">
        <is>
          <t>Operatore plastica</t>
        </is>
      </c>
      <c r="H5" s="34" t="n"/>
      <c r="J5" s="8" t="inlineStr">
        <is>
          <t>Operatore plastica</t>
        </is>
      </c>
      <c r="K5" s="34" t="n"/>
      <c r="M5" s="8" t="inlineStr">
        <is>
          <t>Operatore plastica</t>
        </is>
      </c>
      <c r="N5" s="34" t="n"/>
      <c r="P5" s="8" t="inlineStr">
        <is>
          <t>Operatore plastica</t>
        </is>
      </c>
      <c r="Q5" s="34" t="n"/>
    </row>
    <row r="6">
      <c r="A6" s="8" t="inlineStr">
        <is>
          <t>Addetto assemblaggio</t>
        </is>
      </c>
      <c r="B6" s="34" t="n"/>
      <c r="D6" s="8" t="inlineStr">
        <is>
          <t>Addetto assemblaggio</t>
        </is>
      </c>
      <c r="E6" s="34" t="n"/>
      <c r="G6" s="8" t="inlineStr">
        <is>
          <t>Addetto assemblaggio</t>
        </is>
      </c>
      <c r="H6" s="34" t="n"/>
      <c r="J6" s="8" t="inlineStr">
        <is>
          <t>Addetto assemblaggio</t>
        </is>
      </c>
      <c r="K6" s="34" t="n"/>
      <c r="M6" s="8" t="inlineStr">
        <is>
          <t>Addetto assemblaggio</t>
        </is>
      </c>
      <c r="N6" s="34" t="n"/>
      <c r="P6" s="8" t="inlineStr">
        <is>
          <t>Addetto assemblaggio</t>
        </is>
      </c>
      <c r="Q6" s="34" t="n"/>
    </row>
    <row r="7">
      <c r="A7" s="8" t="inlineStr">
        <is>
          <t>Addetto magazzino</t>
        </is>
      </c>
      <c r="B7" s="34" t="n"/>
      <c r="D7" s="8" t="inlineStr">
        <is>
          <t>Addetto magazzino</t>
        </is>
      </c>
      <c r="E7" s="34" t="n"/>
      <c r="G7" s="8" t="inlineStr">
        <is>
          <t>Addetto magazzino</t>
        </is>
      </c>
      <c r="H7" s="34" t="n"/>
      <c r="J7" s="8" t="inlineStr">
        <is>
          <t>Addetto magazzino</t>
        </is>
      </c>
      <c r="K7" s="34" t="n"/>
      <c r="M7" s="8" t="inlineStr">
        <is>
          <t>Addetto magazzino</t>
        </is>
      </c>
      <c r="N7" s="34" t="n"/>
      <c r="P7" s="8" t="inlineStr">
        <is>
          <t>Addetto magazzino</t>
        </is>
      </c>
      <c r="Q7" s="34" t="n"/>
    </row>
    <row r="8">
      <c r="A8" s="8" t="inlineStr">
        <is>
          <t>Tecnico elettronico</t>
        </is>
      </c>
      <c r="B8" s="34" t="n"/>
      <c r="D8" s="8" t="inlineStr">
        <is>
          <t>Tecnico elettronico</t>
        </is>
      </c>
      <c r="E8" s="34" t="n"/>
      <c r="G8" s="8" t="inlineStr">
        <is>
          <t>Tecnico elettronico</t>
        </is>
      </c>
      <c r="H8" s="34" t="n"/>
      <c r="J8" s="8" t="inlineStr">
        <is>
          <t>Tecnico elettronico</t>
        </is>
      </c>
      <c r="K8" s="34" t="n"/>
      <c r="M8" s="8" t="inlineStr">
        <is>
          <t>Tecnico elettronico</t>
        </is>
      </c>
      <c r="N8" s="34" t="n"/>
      <c r="P8" s="8" t="inlineStr">
        <is>
          <t>Tecnico elettronico</t>
        </is>
      </c>
      <c r="Q8" s="34" t="n"/>
    </row>
    <row r="9">
      <c r="A9" s="8" t="inlineStr">
        <is>
          <t>Addetto collaudo</t>
        </is>
      </c>
      <c r="B9" s="34" t="n"/>
      <c r="D9" s="8" t="inlineStr">
        <is>
          <t>Addetto collaudo</t>
        </is>
      </c>
      <c r="E9" s="34" t="n"/>
      <c r="G9" s="8" t="inlineStr">
        <is>
          <t>Addetto collaudo</t>
        </is>
      </c>
      <c r="H9" s="34" t="n"/>
      <c r="J9" s="8" t="inlineStr">
        <is>
          <t>Addetto collaudo</t>
        </is>
      </c>
      <c r="K9" s="34" t="n"/>
      <c r="M9" s="8" t="inlineStr">
        <is>
          <t>Addetto collaudo</t>
        </is>
      </c>
      <c r="N9" s="34" t="n"/>
      <c r="P9" s="8" t="inlineStr">
        <is>
          <t>Addetto collaudo</t>
        </is>
      </c>
      <c r="Q9" s="34" t="n"/>
    </row>
    <row r="10">
      <c r="A10" s="8" t="inlineStr">
        <is>
          <t>Operatore piegatrice</t>
        </is>
      </c>
      <c r="B10" s="34" t="n"/>
      <c r="D10" s="8" t="inlineStr">
        <is>
          <t>Operatore piegatrice</t>
        </is>
      </c>
      <c r="E10" s="34" t="n"/>
      <c r="G10" s="8" t="inlineStr">
        <is>
          <t>Operatore piegatrice</t>
        </is>
      </c>
      <c r="H10" s="34" t="n"/>
      <c r="J10" s="8" t="inlineStr">
        <is>
          <t>Operatore piegatrice</t>
        </is>
      </c>
      <c r="K10" s="34" t="n"/>
      <c r="M10" s="8" t="inlineStr">
        <is>
          <t>Operatore piegatrice</t>
        </is>
      </c>
      <c r="N10" s="34" t="n"/>
      <c r="P10" s="8" t="inlineStr">
        <is>
          <t>Operatore piegatrice</t>
        </is>
      </c>
      <c r="Q10" s="34" t="n"/>
    </row>
    <row r="11">
      <c r="A11" s="8" t="n"/>
      <c r="B11" s="34" t="n"/>
      <c r="D11" s="8" t="n"/>
      <c r="E11" s="34" t="n"/>
      <c r="G11" s="8" t="n"/>
      <c r="H11" s="34" t="n"/>
      <c r="J11" s="8" t="n"/>
      <c r="K11" s="34" t="n"/>
      <c r="M11" s="8" t="n"/>
      <c r="N11" s="34" t="n"/>
      <c r="P11" s="8" t="n"/>
      <c r="Q11" s="34" t="n"/>
    </row>
    <row r="12">
      <c r="A12" s="5" t="inlineStr">
        <is>
          <t>Direct wages</t>
        </is>
      </c>
      <c r="B12" s="35">
        <f>SUM(B4:B11)</f>
        <v/>
      </c>
      <c r="D12" s="5" t="inlineStr">
        <is>
          <t>Direct wages</t>
        </is>
      </c>
      <c r="E12" s="35">
        <f>SUM(E4:E11)</f>
        <v/>
      </c>
      <c r="G12" s="5" t="inlineStr">
        <is>
          <t>Direct wages</t>
        </is>
      </c>
      <c r="H12" s="35">
        <f>SUM(H4:H11)</f>
        <v/>
      </c>
      <c r="J12" s="5" t="inlineStr">
        <is>
          <t>Direct wages</t>
        </is>
      </c>
      <c r="K12" s="35">
        <f>SUM(K4:K11)</f>
        <v/>
      </c>
      <c r="M12" s="5" t="inlineStr">
        <is>
          <t>Direct wages</t>
        </is>
      </c>
      <c r="N12" s="35">
        <f>SUM(N4:N11)</f>
        <v/>
      </c>
      <c r="P12" s="5" t="inlineStr">
        <is>
          <t>Direct wages</t>
        </is>
      </c>
      <c r="Q12" s="35">
        <f>SUM(Q4:Q11)</f>
        <v/>
      </c>
    </row>
    <row r="13">
      <c r="A13" s="37" t="inlineStr">
        <is>
          <t>MANODOPERA INDIRETTA</t>
        </is>
      </c>
      <c r="B13" s="65" t="n"/>
      <c r="D13" s="37" t="inlineStr">
        <is>
          <t>MANODOPERA INDIRETTA</t>
        </is>
      </c>
      <c r="E13" s="65" t="n"/>
      <c r="G13" s="37" t="inlineStr">
        <is>
          <t>MANODOPERA INDIRETTA</t>
        </is>
      </c>
      <c r="H13" s="65" t="n"/>
      <c r="J13" s="37" t="inlineStr">
        <is>
          <t>MANODOPERA INDIRETTA</t>
        </is>
      </c>
      <c r="K13" s="65" t="n"/>
      <c r="M13" s="37" t="inlineStr">
        <is>
          <t>MANODOPERA INDIRETTA</t>
        </is>
      </c>
      <c r="N13" s="65" t="n"/>
      <c r="P13" s="37" t="inlineStr">
        <is>
          <t>MANODOPERA INDIRETTA</t>
        </is>
      </c>
      <c r="Q13" s="65" t="n"/>
    </row>
    <row r="14">
      <c r="A14" s="8" t="inlineStr">
        <is>
          <t>Ingegnere meccanico</t>
        </is>
      </c>
      <c r="B14" s="34" t="n"/>
      <c r="D14" s="8" t="inlineStr">
        <is>
          <t>Ingegnere meccanico</t>
        </is>
      </c>
      <c r="E14" s="34" t="n"/>
      <c r="G14" s="8" t="inlineStr">
        <is>
          <t>Ingegnere meccanico</t>
        </is>
      </c>
      <c r="H14" s="34" t="n"/>
      <c r="J14" s="8" t="inlineStr">
        <is>
          <t>Ingegnere meccanico</t>
        </is>
      </c>
      <c r="K14" s="34" t="n"/>
      <c r="M14" s="8" t="inlineStr">
        <is>
          <t>Ingegnere meccanico</t>
        </is>
      </c>
      <c r="N14" s="34" t="n"/>
      <c r="P14" s="8" t="inlineStr">
        <is>
          <t>Ingegnere meccanico</t>
        </is>
      </c>
      <c r="Q14" s="34" t="n"/>
    </row>
    <row r="15">
      <c r="A15" s="8" t="inlineStr">
        <is>
          <t>Ingegnere elettronico</t>
        </is>
      </c>
      <c r="B15" s="34" t="n"/>
      <c r="D15" s="8" t="inlineStr">
        <is>
          <t>Ingegnere elettronico</t>
        </is>
      </c>
      <c r="E15" s="34" t="n"/>
      <c r="G15" s="8" t="inlineStr">
        <is>
          <t>Ingegnere elettronico</t>
        </is>
      </c>
      <c r="H15" s="34" t="n"/>
      <c r="J15" s="8" t="inlineStr">
        <is>
          <t>Ingegnere elettronico</t>
        </is>
      </c>
      <c r="K15" s="34" t="n"/>
      <c r="M15" s="8" t="inlineStr">
        <is>
          <t>Ingegnere elettronico</t>
        </is>
      </c>
      <c r="N15" s="34" t="n"/>
      <c r="P15" s="8" t="inlineStr">
        <is>
          <t>Ingegnere elettronico</t>
        </is>
      </c>
      <c r="Q15" s="34" t="n"/>
    </row>
    <row r="16">
      <c r="A16" s="8" t="inlineStr">
        <is>
          <t>Qa/Ra</t>
        </is>
      </c>
      <c r="B16" s="34" t="n"/>
      <c r="D16" s="8" t="inlineStr">
        <is>
          <t>Qa/Ra</t>
        </is>
      </c>
      <c r="E16" s="34" t="n"/>
      <c r="G16" s="8" t="inlineStr">
        <is>
          <t>Qa/Ra</t>
        </is>
      </c>
      <c r="H16" s="34" t="n"/>
      <c r="J16" s="8" t="inlineStr">
        <is>
          <t>Qa/Ra</t>
        </is>
      </c>
      <c r="K16" s="34" t="n"/>
      <c r="M16" s="8" t="inlineStr">
        <is>
          <t>Qa/Ra</t>
        </is>
      </c>
      <c r="N16" s="34" t="n"/>
      <c r="P16" s="8" t="inlineStr">
        <is>
          <t>Qa/Ra</t>
        </is>
      </c>
      <c r="Q16" s="34" t="n"/>
    </row>
    <row r="17">
      <c r="A17" s="8" t="inlineStr">
        <is>
          <t>Venditore</t>
        </is>
      </c>
      <c r="B17" s="34" t="n"/>
      <c r="D17" s="8" t="inlineStr">
        <is>
          <t>Venditore</t>
        </is>
      </c>
      <c r="E17" s="34" t="n"/>
      <c r="G17" s="8" t="inlineStr">
        <is>
          <t>Venditore</t>
        </is>
      </c>
      <c r="H17" s="34" t="n"/>
      <c r="J17" s="8" t="inlineStr">
        <is>
          <t>Venditore</t>
        </is>
      </c>
      <c r="K17" s="34" t="n"/>
      <c r="M17" s="8" t="inlineStr">
        <is>
          <t>Venditore</t>
        </is>
      </c>
      <c r="N17" s="34" t="n"/>
      <c r="P17" s="8" t="inlineStr">
        <is>
          <t>Venditore</t>
        </is>
      </c>
      <c r="Q17" s="34" t="n"/>
    </row>
    <row r="18">
      <c r="A18" s="8" t="inlineStr">
        <is>
          <t>Amministrazione</t>
        </is>
      </c>
      <c r="B18" s="34" t="n"/>
      <c r="D18" s="8" t="inlineStr">
        <is>
          <t>Amministrazione</t>
        </is>
      </c>
      <c r="E18" s="34" t="n"/>
      <c r="G18" s="8" t="inlineStr">
        <is>
          <t>Amministrazione</t>
        </is>
      </c>
      <c r="H18" s="34" t="n"/>
      <c r="J18" s="8" t="inlineStr">
        <is>
          <t>Amministrazione</t>
        </is>
      </c>
      <c r="K18" s="34" t="n"/>
      <c r="M18" s="8" t="inlineStr">
        <is>
          <t>Amministrazione</t>
        </is>
      </c>
      <c r="N18" s="34" t="n"/>
      <c r="P18" s="8" t="inlineStr">
        <is>
          <t>Amministrazione</t>
        </is>
      </c>
      <c r="Q18" s="34" t="n"/>
    </row>
    <row r="19">
      <c r="A19" s="8" t="n"/>
      <c r="B19" s="34" t="n"/>
      <c r="D19" s="8" t="n"/>
      <c r="E19" s="34" t="n"/>
      <c r="G19" s="8" t="n"/>
      <c r="H19" s="34" t="n"/>
      <c r="J19" s="8" t="n"/>
      <c r="K19" s="34" t="n"/>
      <c r="M19" s="8" t="n"/>
      <c r="N19" s="34" t="n"/>
      <c r="P19" s="8" t="n"/>
      <c r="Q19" s="34" t="n"/>
    </row>
    <row r="20">
      <c r="A20" s="5" t="inlineStr">
        <is>
          <t>Indirect wages</t>
        </is>
      </c>
      <c r="B20" s="35">
        <f>SUM(B14:B19)</f>
        <v/>
      </c>
      <c r="D20" s="5" t="inlineStr">
        <is>
          <t>Indirect wages</t>
        </is>
      </c>
      <c r="E20" s="35">
        <f>SUM(E14:E19)</f>
        <v/>
      </c>
      <c r="G20" s="5" t="inlineStr">
        <is>
          <t>Indirect wages</t>
        </is>
      </c>
      <c r="H20" s="35">
        <f>SUM(H14:H19)</f>
        <v/>
      </c>
      <c r="J20" s="5" t="inlineStr">
        <is>
          <t>Indirect wages</t>
        </is>
      </c>
      <c r="K20" s="35">
        <f>SUM(K14:K19)</f>
        <v/>
      </c>
      <c r="M20" s="5" t="inlineStr">
        <is>
          <t>Indirect wages</t>
        </is>
      </c>
      <c r="N20" s="35">
        <f>SUM(N14:N19)</f>
        <v/>
      </c>
      <c r="P20" s="5" t="inlineStr">
        <is>
          <t>Indirect wages</t>
        </is>
      </c>
      <c r="Q20" s="35">
        <f>SUM(Q14:Q19)</f>
        <v/>
      </c>
    </row>
    <row r="22">
      <c r="A22" s="14" t="inlineStr">
        <is>
          <t>Totale employees</t>
        </is>
      </c>
      <c r="B22" s="36">
        <f>B12+B20</f>
        <v/>
      </c>
      <c r="D22" s="14" t="inlineStr">
        <is>
          <t>Totale employees</t>
        </is>
      </c>
      <c r="E22" s="36">
        <f>E12+E20</f>
        <v/>
      </c>
      <c r="G22" s="14" t="inlineStr">
        <is>
          <t>Totale employees</t>
        </is>
      </c>
      <c r="H22" s="36">
        <f>H12+H20</f>
        <v/>
      </c>
      <c r="J22" s="14" t="inlineStr">
        <is>
          <t>Totale employees</t>
        </is>
      </c>
      <c r="K22" s="36">
        <f>K12+K20</f>
        <v/>
      </c>
      <c r="M22" s="14" t="inlineStr">
        <is>
          <t>Totale employees</t>
        </is>
      </c>
      <c r="N22" s="36">
        <f>N12+N20</f>
        <v/>
      </c>
      <c r="P22" s="14" t="inlineStr">
        <is>
          <t>Totale employees</t>
        </is>
      </c>
      <c r="Q22" s="36">
        <f>Q12+Q20</f>
        <v/>
      </c>
    </row>
  </sheetData>
  <mergeCells count="19">
    <mergeCell ref="G2:H2"/>
    <mergeCell ref="J13:K13"/>
    <mergeCell ref="A1:Q1"/>
    <mergeCell ref="M2:N2"/>
    <mergeCell ref="D2:E2"/>
    <mergeCell ref="D13:E13"/>
    <mergeCell ref="P2:Q2"/>
    <mergeCell ref="G13:H13"/>
    <mergeCell ref="A3:B3"/>
    <mergeCell ref="G3:H3"/>
    <mergeCell ref="M13:N13"/>
    <mergeCell ref="A2:B2"/>
    <mergeCell ref="M3:N3"/>
    <mergeCell ref="P13:Q13"/>
    <mergeCell ref="D3:E3"/>
    <mergeCell ref="J3:K3"/>
    <mergeCell ref="P3:Q3"/>
    <mergeCell ref="J2:K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2026-06-13T20:16:08Z</dcterms:created>
  <dcterms:modified xmlns:dcterms="http://purl.org/dc/terms/" xmlns:xsi="http://www.w3.org/2001/XMLSchema-instance" xsi:type="dcterms:W3CDTF">2026-06-13T22:58:18Z</dcterms:modified>
  <cp:lastModifiedBy>Leonardo Pratelli</cp:lastModifiedBy>
  <cp:revision>0</cp:revision>
</cp:coreProperties>
</file>